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nbassociates.sharepoint.com/Projects/EMIS OECS Countries 873/2026.06.OECS SKIP Workshop/Presentations/"/>
    </mc:Choice>
  </mc:AlternateContent>
  <xr:revisionPtr revIDLastSave="0" documentId="8_{8006FDC9-7618-4660-B3B7-696C573BA895}" xr6:coauthVersionLast="47" xr6:coauthVersionMax="47" xr10:uidLastSave="{00000000-0000-0000-0000-000000000000}"/>
  <bookViews>
    <workbookView xWindow="-120" yWindow="-120" windowWidth="29040" windowHeight="15720" firstSheet="5" activeTab="10" xr2:uid="{00000000-000D-0000-FFFF-FFFF00000000}"/>
  </bookViews>
  <sheets>
    <sheet name="SDG Reference" sheetId="1" r:id="rId1"/>
    <sheet name="Institution Registry" sheetId="12" r:id="rId2"/>
    <sheet name="Calculations" sheetId="19" r:id="rId3"/>
    <sheet name="Student Registry" sheetId="13" r:id="rId4"/>
    <sheet name="Definitions" sheetId="3" r:id="rId5"/>
    <sheet name="Teacher Registry" sheetId="14" r:id="rId6"/>
    <sheet name="Enrolments" sheetId="16" r:id="rId7"/>
    <sheet name="Course Registry" sheetId="17" r:id="rId8"/>
    <sheet name="Cover" sheetId="2" r:id="rId9"/>
    <sheet name="Background" sheetId="4" r:id="rId10"/>
    <sheet name="Enrolment" sheetId="5" r:id="rId11"/>
    <sheet name="Age Dis" sheetId="6" r:id="rId12"/>
    <sheet name="Leavers" sheetId="7" r:id="rId13"/>
    <sheet name="Teaching Staff" sheetId="8" r:id="rId14"/>
    <sheet name="Staff Profile" sheetId="9" r:id="rId15"/>
    <sheet name="Exams" sheetId="10" r:id="rId16"/>
    <sheet name="Finance" sheetId="11" r:id="rId17"/>
  </sheets>
  <calcPr calcId="191028"/>
  <pivotCaches>
    <pivotCache cacheId="59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GWHWIZaZWIeRtLR/n7I4ekJ1eKboJhq35peJFf5NvpE="/>
    </ext>
  </extLst>
</workbook>
</file>

<file path=xl/calcChain.xml><?xml version="1.0" encoding="utf-8"?>
<calcChain xmlns="http://schemas.openxmlformats.org/spreadsheetml/2006/main">
  <c r="H2" i="16" l="1"/>
  <c r="G3" i="16"/>
  <c r="G4" i="16"/>
  <c r="G5" i="16"/>
  <c r="G2" i="16"/>
  <c r="D4" i="16"/>
  <c r="D3" i="16"/>
  <c r="D2" i="16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B8" i="5"/>
  <c r="A8" i="5"/>
  <c r="F3" i="17"/>
  <c r="F4" i="17" s="1"/>
  <c r="F5" i="17" s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D6" i="4"/>
  <c r="L2" i="13" l="1"/>
  <c r="K4" i="14"/>
  <c r="K2" i="14"/>
  <c r="K3" i="14"/>
  <c r="L3" i="13"/>
  <c r="L4" i="13"/>
</calcChain>
</file>

<file path=xl/sharedStrings.xml><?xml version="1.0" encoding="utf-8"?>
<sst xmlns="http://schemas.openxmlformats.org/spreadsheetml/2006/main" count="866" uniqueCount="506">
  <si>
    <t>OECS SKIP Component 1.1 — Post-Secondary Data Collection Instrument</t>
  </si>
  <si>
    <t>SDG Indicator Reference Sheet — Post-Secondary / Tertiary Education</t>
  </si>
  <si>
    <t>Each indicator listed below is tagged in the relevant data table sheet. Colour coding identifies which tables feed each indicator.</t>
  </si>
  <si>
    <t>SDG Indicator</t>
  </si>
  <si>
    <t>Short Title</t>
  </si>
  <si>
    <t>Metric Type</t>
  </si>
  <si>
    <t>Numerator</t>
  </si>
  <si>
    <t>Denominator / Notes</t>
  </si>
  <si>
    <t>Relevant Sheet(s)</t>
  </si>
  <si>
    <t>SDG 4.3.2</t>
  </si>
  <si>
    <t>Gross Enrolment Ratio — Tertiary</t>
  </si>
  <si>
    <t>Rate</t>
  </si>
  <si>
    <t>Total enrolment in tertiary (ISCED 5–8), by sex</t>
  </si>
  <si>
    <t>Population of 5-year age group after end of secondary schooling, by sex</t>
  </si>
  <si>
    <t>Enrolment, Age Dis</t>
  </si>
  <si>
    <t>SDG 4.3.3</t>
  </si>
  <si>
    <t>TVET Participation Rate (15–24)</t>
  </si>
  <si>
    <t>Enrolment in TVET programmes aged 15–24, by sex</t>
  </si>
  <si>
    <t>Total population aged 15–24. Flag: age data MUST be collected</t>
  </si>
  <si>
    <t>Age Dis</t>
  </si>
  <si>
    <t>SDG 4.5.3</t>
  </si>
  <si>
    <t>Equity Funding Mechanisms</t>
  </si>
  <si>
    <t>Existence (Y/N)</t>
  </si>
  <si>
    <t>Policy or mechanism to reallocate resources to disadvantaged groups</t>
  </si>
  <si>
    <t>Binary — Yes/No with supporting description</t>
  </si>
  <si>
    <t>Finance</t>
  </si>
  <si>
    <t>SDG 4.5.4</t>
  </si>
  <si>
    <t>Expenditure per Student by Level</t>
  </si>
  <si>
    <t>Currency</t>
  </si>
  <si>
    <t>Total education expenditure by level and source</t>
  </si>
  <si>
    <t>Average enrolled students by level</t>
  </si>
  <si>
    <t>SDG 4.5.5</t>
  </si>
  <si>
    <t>ODA to Education — LDC Share</t>
  </si>
  <si>
    <t>Percentage</t>
  </si>
  <si>
    <t>ODA to education in LDCs</t>
  </si>
  <si>
    <t>Total ODA to education globally. For MoE reporting — flag scholarship funding source</t>
  </si>
  <si>
    <t>SDG 4.5.6</t>
  </si>
  <si>
    <t>Education Expenditure as % of GDP</t>
  </si>
  <si>
    <t>Government + private + international education expenditure</t>
  </si>
  <si>
    <t>GDP at market prices. Breakdown by source required</t>
  </si>
  <si>
    <t>SDG 4.a.3</t>
  </si>
  <si>
    <t>Attacks on Students/Staff/Institutions</t>
  </si>
  <si>
    <t>Count</t>
  </si>
  <si>
    <t>Number of reported incidents in academic year</t>
  </si>
  <si>
    <t>Zero-value is a valid answer — must be reported annually</t>
  </si>
  <si>
    <t>Background</t>
  </si>
  <si>
    <t>SDG 4.b.1</t>
  </si>
  <si>
    <t>ODA Flows for Scholarships</t>
  </si>
  <si>
    <t>Currency (USD)</t>
  </si>
  <si>
    <t>Volume of scholarships received by sector and type of study</t>
  </si>
  <si>
    <t>Distinguish: Government Scholarship / International ODA / Self-funded</t>
  </si>
  <si>
    <t>Enrolment, Finance</t>
  </si>
  <si>
    <t>SDG 4.c.1</t>
  </si>
  <si>
    <t>Teachers with Minimum Qualifications</t>
  </si>
  <si>
    <t>Teachers meeting national minimum qualification standard, by level</t>
  </si>
  <si>
    <t>Total number of teachers in service, by level</t>
  </si>
  <si>
    <t>Teaching Staff, Staff Profile</t>
  </si>
  <si>
    <t>SDG 4.c.2</t>
  </si>
  <si>
    <t>Pupil-to-Trained-Teacher Ratio</t>
  </si>
  <si>
    <t>Ratio</t>
  </si>
  <si>
    <t>Total enrolled pupils</t>
  </si>
  <si>
    <t>Number of trained teachers</t>
  </si>
  <si>
    <t>Teaching Staff</t>
  </si>
  <si>
    <t>SDG 4.c.3</t>
  </si>
  <si>
    <t>Qualified Teachers by National Standards</t>
  </si>
  <si>
    <t>Teachers qualified to national standards by type of institution</t>
  </si>
  <si>
    <t>Total teachers. Separate Full Time / Part Time</t>
  </si>
  <si>
    <t>SDG 4.c.4</t>
  </si>
  <si>
    <t>Pupil-to-Qualified-Teacher Ratio</t>
  </si>
  <si>
    <t>Number of qualified teachers</t>
  </si>
  <si>
    <t>SDG 4.c.5</t>
  </si>
  <si>
    <t>Teacher Salary Relative to Other Professions</t>
  </si>
  <si>
    <t>Average teacher salary</t>
  </si>
  <si>
    <t>Average salary in comparable-qualification professions</t>
  </si>
  <si>
    <t>SDG 4.c.6</t>
  </si>
  <si>
    <t>Teacher Attrition Rate</t>
  </si>
  <si>
    <t>Teachers who left service during academic year</t>
  </si>
  <si>
    <t>Total teachers at start of year. Separate: retirement/resignation/transfer</t>
  </si>
  <si>
    <t>Staff Profile</t>
  </si>
  <si>
    <t>SDG 4.c.7</t>
  </si>
  <si>
    <t>Teachers Receiving In-Service Training (12 months)</t>
  </si>
  <si>
    <t>Teachers who received CPD in past 12 months, by type</t>
  </si>
  <si>
    <t>Total teachers. Distinguish: face-to-face / online / blended</t>
  </si>
  <si>
    <t>NOTE: SDG 4.1.1 (Minimum Proficiency) applies to primary/lower secondary only — NOT post-secondary. Do not report post-secondary assessment data under SDG 4.1.1. SDG 4.a.1 (Facilities: water, sanitation, electricity, handwashing, internet) is captured in the Finance sheet.</t>
  </si>
  <si>
    <t>ID</t>
  </si>
  <si>
    <t>Name</t>
  </si>
  <si>
    <t>Region</t>
  </si>
  <si>
    <t>Country</t>
  </si>
  <si>
    <t>Contact Information</t>
  </si>
  <si>
    <t>Your Institution</t>
  </si>
  <si>
    <t>Your Region</t>
  </si>
  <si>
    <t>Other Institution</t>
  </si>
  <si>
    <t>Other Region</t>
  </si>
  <si>
    <t>Row Labels</t>
  </si>
  <si>
    <t>Count of Year</t>
  </si>
  <si>
    <t>Female</t>
  </si>
  <si>
    <t>Male</t>
  </si>
  <si>
    <t>RULI</t>
  </si>
  <si>
    <t>Local ID</t>
  </si>
  <si>
    <t>First Name</t>
  </si>
  <si>
    <t>Other Name</t>
  </si>
  <si>
    <t>Last Name</t>
  </si>
  <si>
    <t>Maiden Name</t>
  </si>
  <si>
    <t>Date of Birth</t>
  </si>
  <si>
    <t>Gender</t>
  </si>
  <si>
    <t>Last Updated</t>
  </si>
  <si>
    <t>Is FTE</t>
  </si>
  <si>
    <t>Year</t>
  </si>
  <si>
    <t>Age at Time of Reporting</t>
  </si>
  <si>
    <t>s11111</t>
  </si>
  <si>
    <t>First Student Name</t>
  </si>
  <si>
    <t>First Student Other Name</t>
  </si>
  <si>
    <t>First Student Last Name</t>
  </si>
  <si>
    <t>Y</t>
  </si>
  <si>
    <t>s11112</t>
  </si>
  <si>
    <t>Other Student First Name</t>
  </si>
  <si>
    <t>Other Student Last Name</t>
  </si>
  <si>
    <t>N</t>
  </si>
  <si>
    <t>s11113</t>
  </si>
  <si>
    <t>Unique Student First Name</t>
  </si>
  <si>
    <t>Unique Student Last Name</t>
  </si>
  <si>
    <t>Definitions</t>
  </si>
  <si>
    <t>Explanatory Notes for Completing the Questionnaire</t>
  </si>
  <si>
    <t>Term</t>
  </si>
  <si>
    <t>Definition</t>
  </si>
  <si>
    <t>Age</t>
  </si>
  <si>
    <t>Age as of last birthday.</t>
  </si>
  <si>
    <t>Completed Certified</t>
  </si>
  <si>
    <t>Student completed a programme and received certification.</t>
  </si>
  <si>
    <t>Completed Uncertified</t>
  </si>
  <si>
    <t>Student completed a programme without receiving certification.</t>
  </si>
  <si>
    <t>CVQ</t>
  </si>
  <si>
    <t>Caribbean Vocational Qualification.</t>
  </si>
  <si>
    <t>Date Established</t>
  </si>
  <si>
    <t>Date the institution first admitted students.</t>
  </si>
  <si>
    <t>Division</t>
  </si>
  <si>
    <t>Department of institution providing specific programmes (e.g. Division of Health).</t>
  </si>
  <si>
    <t>Dropout</t>
  </si>
  <si>
    <t>Student who leaves before graduation/completion for any reason.</t>
  </si>
  <si>
    <t>ISCED</t>
  </si>
  <si>
    <t>International Standard Classification of Education. Post-secondary = ISCED 5–8.</t>
  </si>
  <si>
    <t>NREN</t>
  </si>
  <si>
    <t>National Research and Education Network.</t>
  </si>
  <si>
    <t>Trained Teacher</t>
  </si>
  <si>
    <t>One who has successfully completed a recognised course of teacher education.</t>
  </si>
  <si>
    <t>ODA</t>
  </si>
  <si>
    <t>Official Development Assistance — relevant for SDG 4.b.1 scholarship flows.</t>
  </si>
  <si>
    <t>CPD</t>
  </si>
  <si>
    <t>Continuous Professional Development — hours in past 12 months required for SDG 4.c.7.</t>
  </si>
  <si>
    <t>GER</t>
  </si>
  <si>
    <t>Gross Enrolment Ratio — enrolment as a proportion of the relevant age-group population (SDG 4.3.2).</t>
  </si>
  <si>
    <t>TVET</t>
  </si>
  <si>
    <t>Technical and Vocational Education and Training — relevant for SDG 4.3.3.</t>
  </si>
  <si>
    <t>No.</t>
  </si>
  <si>
    <t>Surname</t>
  </si>
  <si>
    <t>Sex</t>
  </si>
  <si>
    <t>Classification
(PR/VP/HOD/TT)</t>
  </si>
  <si>
    <t>Teacher
Type</t>
  </si>
  <si>
    <t>Subject(s)
Taught</t>
  </si>
  <si>
    <t>Total Periods
Taught</t>
  </si>
  <si>
    <t>Years Teaching
Experience</t>
  </si>
  <si>
    <t>Nationality</t>
  </si>
  <si>
    <t>Highest
Qualification</t>
  </si>
  <si>
    <t>Area of
Specialisation</t>
  </si>
  <si>
    <t>CPD Hours
Past Year
[SDG 4.c.7]</t>
  </si>
  <si>
    <t>Appraised
Last Year?
(Y/N)</t>
  </si>
  <si>
    <t>Left Service
This Year?
[SDG 4.c.6]</t>
  </si>
  <si>
    <t>t11111</t>
  </si>
  <si>
    <t>First Teacher Name</t>
  </si>
  <si>
    <t>First Teacher Other Name</t>
  </si>
  <si>
    <t>First Teacher Last Name</t>
  </si>
  <si>
    <t>HOD</t>
  </si>
  <si>
    <t>TT</t>
  </si>
  <si>
    <t>Spanish</t>
  </si>
  <si>
    <t>GND</t>
  </si>
  <si>
    <t>BSc</t>
  </si>
  <si>
    <t>Computing</t>
  </si>
  <si>
    <t>No</t>
  </si>
  <si>
    <t>t11112</t>
  </si>
  <si>
    <t>Other Teacher First Name</t>
  </si>
  <si>
    <t>Other Teacher Last Name</t>
  </si>
  <si>
    <t>English</t>
  </si>
  <si>
    <t>t11113</t>
  </si>
  <si>
    <t>Unique Teacher First Name</t>
  </si>
  <si>
    <t>Unique Teacher Last Name</t>
  </si>
  <si>
    <t>PR</t>
  </si>
  <si>
    <t>German</t>
  </si>
  <si>
    <t>Programme Name</t>
  </si>
  <si>
    <t>Student Name</t>
  </si>
  <si>
    <t>Teacher Name</t>
  </si>
  <si>
    <t>Role</t>
  </si>
  <si>
    <t>Start Date</t>
  </si>
  <si>
    <t>End Date</t>
  </si>
  <si>
    <t>Certification Type</t>
  </si>
  <si>
    <t>Prog 1</t>
  </si>
  <si>
    <t>Programme</t>
  </si>
  <si>
    <t>Division/Department</t>
  </si>
  <si>
    <t>Certification</t>
  </si>
  <si>
    <t>Is Accredited</t>
  </si>
  <si>
    <t>Is TVET</t>
  </si>
  <si>
    <t>Programme ID</t>
  </si>
  <si>
    <t>Enrolment  Year 1</t>
  </si>
  <si>
    <t>Enrolment  Year 2</t>
  </si>
  <si>
    <t>Enrolment  Year 3</t>
  </si>
  <si>
    <t>Enrolment  Year 4</t>
  </si>
  <si>
    <t>Certificate</t>
  </si>
  <si>
    <t>Prog 2</t>
  </si>
  <si>
    <t>Prog 3</t>
  </si>
  <si>
    <t>Prog 4</t>
  </si>
  <si>
    <t>Prog 5</t>
  </si>
  <si>
    <t>CAPE</t>
  </si>
  <si>
    <t>Prog 6</t>
  </si>
  <si>
    <t>Prog 7</t>
  </si>
  <si>
    <t>Prog 8</t>
  </si>
  <si>
    <t>Prog 9</t>
  </si>
  <si>
    <t>Associate Degree</t>
  </si>
  <si>
    <t>Prog 10</t>
  </si>
  <si>
    <t>Prog 11</t>
  </si>
  <si>
    <t>Prog 12</t>
  </si>
  <si>
    <t>Prog 13</t>
  </si>
  <si>
    <t>Undergraduate Degree</t>
  </si>
  <si>
    <t>Prog 14</t>
  </si>
  <si>
    <t>Locally</t>
  </si>
  <si>
    <t>Prog 15</t>
  </si>
  <si>
    <t>Prog 16</t>
  </si>
  <si>
    <t>Regionally</t>
  </si>
  <si>
    <t>Prog 17</t>
  </si>
  <si>
    <t>Graduate Degree</t>
  </si>
  <si>
    <t>Prog 18</t>
  </si>
  <si>
    <t>Prog 19</t>
  </si>
  <si>
    <t>Post Graduate Degree</t>
  </si>
  <si>
    <t>Prog 20</t>
  </si>
  <si>
    <t>Stand Alone Academic Courses</t>
  </si>
  <si>
    <t>OECS MEMBER STATE — MINISTRY OF EDUCATION</t>
  </si>
  <si>
    <t>POST-SECONDARY / TERTIARY QUESTIONNAIRE  |  2025–2026 ACADEMIC YEAR</t>
  </si>
  <si>
    <t>SDG-Tagged Edition — each table identifies which SDG 4 indicator it feeds</t>
  </si>
  <si>
    <t>INSTRUCTIONS</t>
  </si>
  <si>
    <t>1. All data should refer to 15th October 2025. Return completed questionnaire to XXXX by XXXX.</t>
  </si>
  <si>
    <t>2. Refer to definitions on the Definitions sheet before completing. Contact XXXX for assistance.</t>
  </si>
  <si>
    <t>Institution:</t>
  </si>
  <si>
    <t>Date completed:</t>
  </si>
  <si>
    <t>Name of completing officer:</t>
  </si>
  <si>
    <t>Signature:</t>
  </si>
  <si>
    <t>FOR OFFICIAL USE ONLY</t>
  </si>
  <si>
    <t>Date received:</t>
  </si>
  <si>
    <t>Status:</t>
  </si>
  <si>
    <t xml:space="preserve">  Complete ☐     Incomplete ☐</t>
  </si>
  <si>
    <t>Action taken:</t>
  </si>
  <si>
    <t xml:space="preserve">  Accept ☐    Return ☐    Consult ☐</t>
  </si>
  <si>
    <t>SDG DATA NOTE</t>
  </si>
  <si>
    <t>This questionnaire has been updated to tag each data table with the SDG 4 indicator(s) it feeds. The SDG Reference sheet at the front of this workbook provides the full indicator definitions. Colour-coded tags appear in each table header — match the colour key on the SDG Reference sheet.</t>
  </si>
  <si>
    <t>SECTION 1: BACKGROUND INFORMATION</t>
  </si>
  <si>
    <t>Post-Secondary/Tertiary Questionnaire — 2025/2026</t>
  </si>
  <si>
    <t>SDG tags indicate which indicators this section feeds</t>
  </si>
  <si>
    <t>Academic Year - October 15</t>
  </si>
  <si>
    <t>to September 14</t>
  </si>
  <si>
    <t>Name of Institution:</t>
  </si>
  <si>
    <t>1.1 Mailing Address:</t>
  </si>
  <si>
    <t>1.2 Date Established:</t>
  </si>
  <si>
    <t>1.3 Phone No.:</t>
  </si>
  <si>
    <t>1.4 Fax No.:</t>
  </si>
  <si>
    <t>1.5 E-mail:</t>
  </si>
  <si>
    <t>1.6 Website:</t>
  </si>
  <si>
    <t>1.7 Name of Dean/Principal:</t>
  </si>
  <si>
    <t>1.8 Management Type</t>
  </si>
  <si>
    <t>Ministry of Education ☐</t>
  </si>
  <si>
    <t>Board/Council ☐</t>
  </si>
  <si>
    <t>Other ☐</t>
  </si>
  <si>
    <t>1.9 – 1.11 Staffing and Enrolment</t>
  </si>
  <si>
    <t>1.9 Non-Teaching Staff:</t>
  </si>
  <si>
    <t>1.10 Teaching Staff:</t>
  </si>
  <si>
    <t>1.11 Total Enrolment:</t>
  </si>
  <si>
    <t>1.12 Enrolment by Division and Gender</t>
  </si>
  <si>
    <t>Division Name</t>
  </si>
  <si>
    <t>Total</t>
  </si>
  <si>
    <t>1.13 – 1.18 Strategic Plan, Safety, and Infrastructure</t>
  </si>
  <si>
    <t>1.13 Does the institution have a strategic plan?</t>
  </si>
  <si>
    <t>Yes ☐</t>
  </si>
  <si>
    <t>No ☐</t>
  </si>
  <si>
    <t>SDG —</t>
  </si>
  <si>
    <t>1.14 Does the institution have a Disaster Management Plan?</t>
  </si>
  <si>
    <t>1.15 Emergency drills conducted in past year — how many?</t>
  </si>
  <si>
    <t>1.16 Are all areas accessible to students with disabilities?</t>
  </si>
  <si>
    <t>SDG 4.a.1</t>
  </si>
  <si>
    <t>1.17 Is the institution a member of the OECS NREN?</t>
  </si>
  <si>
    <t>1.18 Number of teaching staff undertaking academic research (M / F)</t>
  </si>
  <si>
    <t>T2. CURRENT ENROLMENT BY DIVISION/DEPARTMENT, PROGRAMME, AND SEX</t>
  </si>
  <si>
    <t>SDG 4.3.2 — Tertiary GER  |  SDG 4.3.3 — TVET Participation  |  SDG 4.b.1 — Scholarship Enrolment</t>
  </si>
  <si>
    <t>Complete one block per Division. Copy and paste rows as needed.</t>
  </si>
  <si>
    <t>SDG INDICATOR COLOUR KEY — tagged cells show which SDG each data element supports</t>
  </si>
  <si>
    <t>SDG 4.3.2 — Tertiary GER</t>
  </si>
  <si>
    <t>SDG 4.3.3 — TVET Participation</t>
  </si>
  <si>
    <t>SDG 4.5.x — Equity &amp; Finance</t>
  </si>
  <si>
    <t>SDG 4.a.3 — Safety</t>
  </si>
  <si>
    <t>SDG 4.b.1 — ODA/Scholarships</t>
  </si>
  <si>
    <t>SDG 4.c.x — Teachers/CPD</t>
  </si>
  <si>
    <t>SDG 4.a.1 — Facilities</t>
  </si>
  <si>
    <t>SDG 4.3.2
Tertiary GER</t>
  </si>
  <si>
    <t>SDG 4.3.3
TVET
Participation</t>
  </si>
  <si>
    <t>SDG 4.b.1
Scholarship
Enrolment</t>
  </si>
  <si>
    <t>SDG 4.5.1
Parity
(M/F)</t>
  </si>
  <si>
    <t>Accredited?
(No/Locally/
Regionally/
Internationally)</t>
  </si>
  <si>
    <t>Is TVET?
(Y/N)
→ SDG 4.3.3</t>
  </si>
  <si>
    <t>Year 1
M</t>
  </si>
  <si>
    <t>Year 1
F</t>
  </si>
  <si>
    <t>Year 2
M</t>
  </si>
  <si>
    <t>Year 2
F</t>
  </si>
  <si>
    <t>Year 3
M</t>
  </si>
  <si>
    <t>Year 3
F</t>
  </si>
  <si>
    <t>Year 4
M</t>
  </si>
  <si>
    <t>Year 4
F</t>
  </si>
  <si>
    <t>Total
PT M</t>
  </si>
  <si>
    <t>Total
PT F</t>
  </si>
  <si>
    <t>Total
FT M</t>
  </si>
  <si>
    <t>Total
FT F</t>
  </si>
  <si>
    <t>OECS
Nationals M</t>
  </si>
  <si>
    <t>OECS
Nationals F</t>
  </si>
  <si>
    <t>Other
CARICOM M</t>
  </si>
  <si>
    <t>Other
CARICOM F</t>
  </si>
  <si>
    <t>Other
Nationality M</t>
  </si>
  <si>
    <t>Other
Nationality F</t>
  </si>
  <si>
    <t>ODA
Scholarship
(SDG 4.b.1)</t>
  </si>
  <si>
    <t>T3. ENROLMENT BY AGE, PROGRAMME, AND SEX</t>
  </si>
  <si>
    <t>SDG 4.3.2 — Tertiary GER  |  SDG 4.3.3 — TVET Participation Rate (ages 15–24 REQUIRED for SDG 4.3.3)</t>
  </si>
  <si>
    <t>CRITICAL: Age disaggregation for 15–24 is mandatory for SDG 4.3.3 calculation.</t>
  </si>
  <si>
    <t>SDG 4.3.2
Tertiary GER
(all ages)</t>
  </si>
  <si>
    <t>SDG 4.3.3
TVET 15–24
★ MANDATORY AGE BAND</t>
  </si>
  <si>
    <t>SDG 4.5.1
Parity
(M/F breakdown)</t>
  </si>
  <si>
    <t>SDG 4.b.1
Scholarship by
age if available</t>
  </si>
  <si>
    <t>Age as of
15th October</t>
  </si>
  <si>
    <t>Certificate
Full Time</t>
  </si>
  <si>
    <t>CAPE
Full Time</t>
  </si>
  <si>
    <t>Diploma
Full Time</t>
  </si>
  <si>
    <t>Associate Degree
Full Time</t>
  </si>
  <si>
    <t>Bachelors
Full Time</t>
  </si>
  <si>
    <t>Masters
Full Time</t>
  </si>
  <si>
    <t>PhD
Full Time</t>
  </si>
  <si>
    <t>Total
M</t>
  </si>
  <si>
    <t>Total
F</t>
  </si>
  <si>
    <t>M</t>
  </si>
  <si>
    <t>F</t>
  </si>
  <si>
    <t>&lt;16</t>
  </si>
  <si>
    <t>16</t>
  </si>
  <si>
    <t>← SDG 4.3.3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</si>
  <si>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</si>
  <si>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</si>
  <si>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</si>
  <si>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</si>
  <si>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</si>
  <si>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</si>
  <si>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</si>
  <si>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</si>
  <si>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</si>
  <si>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</si>
  <si>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</si>
  <si>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</si>
  <si>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</si>
  <si>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30-34</t>
  </si>
  <si>
    <t>35-39</t>
  </si>
  <si>
    <t>40 &amp; over</t>
  </si>
  <si>
    <t>Age unknown</t>
  </si>
  <si>
    <t>T4–T7. LEAVERS, DROPOUT REASONS, SPECIAL NEEDS, AND GRADUATES</t>
  </si>
  <si>
    <t>SDG 4.3.2 — Completion feeds GER denominator  |  SDG 4.5.1 — Disability data</t>
  </si>
  <si>
    <t>T4. Leavers for Previous Academic Year by Division, Level and Sex (Full Time)</t>
  </si>
  <si>
    <t>SDG 4.3.2
Completion</t>
  </si>
  <si>
    <t>Type</t>
  </si>
  <si>
    <t>Level</t>
  </si>
  <si>
    <t>Dropouts</t>
  </si>
  <si>
    <t>Year 1</t>
  </si>
  <si>
    <t>Year 2</t>
  </si>
  <si>
    <t>Year 3</t>
  </si>
  <si>
    <t>Repeaters</t>
  </si>
  <si>
    <t>Transfers (from)</t>
  </si>
  <si>
    <t>T5. Main Reasons for Dropping Out</t>
  </si>
  <si>
    <t>Migration</t>
  </si>
  <si>
    <t>☐ Check if applicable</t>
  </si>
  <si>
    <t>Withdrawal</t>
  </si>
  <si>
    <t>Expulsion</t>
  </si>
  <si>
    <t>Financial Difficulties</t>
  </si>
  <si>
    <t>Personal/Family Reasons</t>
  </si>
  <si>
    <t>Other (Specify)</t>
  </si>
  <si>
    <t>T6. Special Needs — Students with Disabilities</t>
  </si>
  <si>
    <t>SDG 4.5.1
Parity / Equity
Disability</t>
  </si>
  <si>
    <t>Number of enrolled students with disabilities — Male</t>
  </si>
  <si>
    <t>Number of enrolled students with disabilities — Female</t>
  </si>
  <si>
    <t>T7. Graduates from Last Academic Year by Field of Education</t>
  </si>
  <si>
    <t>SDG 4.3.2
Graduates
by field</t>
  </si>
  <si>
    <t>SDG 4.5.1
Gender
parity</t>
  </si>
  <si>
    <t>ISCED Field of Education</t>
  </si>
  <si>
    <t>01 Education</t>
  </si>
  <si>
    <t>02 Arts and Humanities</t>
  </si>
  <si>
    <t>03 Social Sciences, Journalism and Information</t>
  </si>
  <si>
    <t>04 Business, Administration and Law</t>
  </si>
  <si>
    <t>05 Natural Sciences, Mathematics and Statistics</t>
  </si>
  <si>
    <t>06 Information and Communication Technologies</t>
  </si>
  <si>
    <t>07 Engineering, Manufacturing and Construction</t>
  </si>
  <si>
    <t>08 Agriculture, Forestry, Fisheries and Veterinary</t>
  </si>
  <si>
    <t>09 Health and Welfare</t>
  </si>
  <si>
    <t>10 Services</t>
  </si>
  <si>
    <t>Not Known or Unspecified</t>
  </si>
  <si>
    <t>T8–T9. TEACHING STAFF BY QUALIFICATION AND SEX (FULL TIME AND PART TIME)</t>
  </si>
  <si>
    <t>SDG 4.c.1 — Proportion with minimum qualifications  |  SDG 4.c.2 — Pupil-trained teacher ratio  |  SDG 4.c.3 — % qualified by institution type  |  SDG 4.c.4 — Pupil-qualified teacher ratio</t>
  </si>
  <si>
    <t>BOTH full-time and part-time tables must be completed for SDG 4.c calculations.</t>
  </si>
  <si>
    <t>T8. FULL TIME Teaching Staff by Highest Qualification and Sex</t>
  </si>
  <si>
    <t>SDG 4.c.1
Min. qualified</t>
  </si>
  <si>
    <t>SDG 4.c.2/4.c.4
Pupil-teacher
ratios</t>
  </si>
  <si>
    <t>SDG 4.c.3
% qualified by
institution type</t>
  </si>
  <si>
    <t>SDG 4.c.5
Salary data in
Finance sheet</t>
  </si>
  <si>
    <t>SDG 4.c.6
Attrition in
Staff Profile</t>
  </si>
  <si>
    <t>SDG 4.c.7
CPD training
in Staff Profile</t>
  </si>
  <si>
    <t>Ph.D</t>
  </si>
  <si>
    <t>Masters Degree</t>
  </si>
  <si>
    <t>Post Grad. Diploma</t>
  </si>
  <si>
    <t>Bachelors Degree</t>
  </si>
  <si>
    <t>Diploma</t>
  </si>
  <si>
    <t>CAPE/A-Levels</t>
  </si>
  <si>
    <t>Total
Trained M</t>
  </si>
  <si>
    <t>Total
Trained F</t>
  </si>
  <si>
    <t>Division …</t>
  </si>
  <si>
    <t>T9. PART TIME Teaching Staff by Highest Qualification and Sex</t>
  </si>
  <si>
    <t>T10. TEACHING STAFF PROFILE — Individual Records</t>
  </si>
  <si>
    <t>SDG 4.c.1 — Qualifications  |  SDG 4.c.6 — Attrition  |  SDG 4.c.7 — CPD in-service training (past 12 months)</t>
  </si>
  <si>
    <t>Complete one row per staff member. CPD hours are required for SDG 4.c.7.</t>
  </si>
  <si>
    <t>SDG 4.c.1
Qualification</t>
  </si>
  <si>
    <t>SDG 4.c.6
Attrition</t>
  </si>
  <si>
    <t>SDG 4.c.7
CPD Hours
★ REQUIRED</t>
  </si>
  <si>
    <t>SDG 4.c.5
Salary grade
for ratio calc</t>
  </si>
  <si>
    <t>Date of Birth
(DD-MMM-YYYY)</t>
  </si>
  <si>
    <t>e.g.</t>
  </si>
  <si>
    <t>Alexander</t>
  </si>
  <si>
    <t>Jane</t>
  </si>
  <si>
    <t>29-Aug-2000</t>
  </si>
  <si>
    <t>T11–T12. EXAMINATION RESULTS AND CVQ RESULTS</t>
  </si>
  <si>
    <t>SDG 4.3.2 — Completion and graduation data feeds GER  |  SDG 4.3.3 — CVQ results (TVET)</t>
  </si>
  <si>
    <t>T11. Examination Results — Previous Academic Year</t>
  </si>
  <si>
    <t>SDG 4.3.2
Completion
&amp; GER</t>
  </si>
  <si>
    <t>Level of Qualification</t>
  </si>
  <si>
    <t>No. Sat M</t>
  </si>
  <si>
    <t>No. Sat F</t>
  </si>
  <si>
    <t>No. Passed M</t>
  </si>
  <si>
    <t>No. Passed F</t>
  </si>
  <si>
    <t>Division of …</t>
  </si>
  <si>
    <t>Degree</t>
  </si>
  <si>
    <t>Masters</t>
  </si>
  <si>
    <t>PhD</t>
  </si>
  <si>
    <t>T12. CVQ Results — Previous Academic Year</t>
  </si>
  <si>
    <t>SDG 4.3.3
TVET CVQ
Results</t>
  </si>
  <si>
    <t>CVQs</t>
  </si>
  <si>
    <t>Level 1</t>
  </si>
  <si>
    <t>Level 2</t>
  </si>
  <si>
    <t>Level 3</t>
  </si>
  <si>
    <t>Level 4</t>
  </si>
  <si>
    <t>Level 5</t>
  </si>
  <si>
    <t>T13–T15. FINANCE, FACILITIES (WATER AND SANITATION)</t>
  </si>
  <si>
    <t>SDG 4.5.3 — Equity funding mechanism  |  SDG 4.5.4 — Expenditure per student  |  SDG 4.5.6 — Expenditure as % of GDP  |  SDG 4.c.5 — Teacher salary ratio  |  SDG 4.a.1 — Water and sanitation</t>
  </si>
  <si>
    <t>T13. Revenue and Recurrent Expenditure — Previous Year 2024–2025</t>
  </si>
  <si>
    <t>SDG 4.5.4
Expenditure
per student</t>
  </si>
  <si>
    <t>SDG 4.5.6
Expenditure
as % GDP</t>
  </si>
  <si>
    <t>SDG 4.c.5
Teacher salary
relative ratio</t>
  </si>
  <si>
    <t>SDG 4.5.3
Equity funding
mechanism</t>
  </si>
  <si>
    <t>REVENUE</t>
  </si>
  <si>
    <t>Amount (Local Currency)</t>
  </si>
  <si>
    <t>RECURRENT EXPENDITURE</t>
  </si>
  <si>
    <t>Government</t>
  </si>
  <si>
    <t>Personal Emoluments (Total)</t>
  </si>
  <si>
    <t>Private</t>
  </si>
  <si>
    <t xml:space="preserve">  - Teaching Staff</t>
  </si>
  <si>
    <t>Student Fees</t>
  </si>
  <si>
    <t xml:space="preserve">  - Non-Teaching Staff</t>
  </si>
  <si>
    <t>Fund Raising Activities</t>
  </si>
  <si>
    <t>Wages</t>
  </si>
  <si>
    <t>Grants</t>
  </si>
  <si>
    <t>Utilities</t>
  </si>
  <si>
    <t>Sale of Services and Products</t>
  </si>
  <si>
    <t>Supplies and Materials</t>
  </si>
  <si>
    <t>Revenue from Consultancy</t>
  </si>
  <si>
    <t>Operating and Maintenance</t>
  </si>
  <si>
    <t>Others (Specify)</t>
  </si>
  <si>
    <t>Office and General</t>
  </si>
  <si>
    <t>Training</t>
  </si>
  <si>
    <t>Travel, Subsistence and Allowance</t>
  </si>
  <si>
    <t>TOTAL</t>
  </si>
  <si>
    <t>SDG 4.5.3 — Equity Funding Mechanism (NEW ITEM)</t>
  </si>
  <si>
    <t>Does the institution have a formal mechanism to reallocate resources to disadvantaged students?</t>
  </si>
  <si>
    <t>Yes ☐  No ☐</t>
  </si>
  <si>
    <t>If yes, describe the mechanism (bursaries, subsidised fees, targeted grants, etc.):</t>
  </si>
  <si>
    <t>What is the total value of equity-targeted funding in the previous academic year (Local Currency)?</t>
  </si>
  <si>
    <t>SDG 4.c.5 — Average Teacher Salary Relative to Other Professions (NEW ITEM)</t>
  </si>
  <si>
    <t>Average annual salary of full-time teaching staff (Local Currency):</t>
  </si>
  <si>
    <t>Average annual salary of professions requiring comparable qualifications (e.g. civil service graduate grade) (Local Currency):</t>
  </si>
  <si>
    <t>Ratio (teacher salary ÷ comparator salary — calculated automatically):</t>
  </si>
  <si>
    <t>T14. Availability of Water — SDG 4.a.1</t>
  </si>
  <si>
    <t>SDG 4.a.1
Water &amp;
Sanitation</t>
  </si>
  <si>
    <t>Yes = piped, protected well/spring, rainwater, delivered/packaged water</t>
  </si>
  <si>
    <t>No = unprotected well/spring, lake/river, none</t>
  </si>
  <si>
    <t>Water currently available from the source</t>
  </si>
  <si>
    <t>Accessible handwashing facilities</t>
  </si>
  <si>
    <t>Handwashing with soap and water currently available</t>
  </si>
  <si>
    <t>T15. Sanitation and Hygiene — SDG 4.a.1</t>
  </si>
  <si>
    <t>Male Staff Toilets</t>
  </si>
  <si>
    <t>Female Staff Toilets</t>
  </si>
  <si>
    <t>Staff Urinals</t>
  </si>
  <si>
    <t>Female-Students-Only Toilets</t>
  </si>
  <si>
    <t>Male-Students-Only Toilets</t>
  </si>
  <si>
    <t>Common Use Toilets</t>
  </si>
  <si>
    <t>Washrooms for Students with Disabilities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</si>
</sst>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color rgb="FF404040"/>
      <name val="Calibri"/>
    </font>
    <font>
      <i/>
      <sz val="10"/>
      <color rgb="FF7F4F00"/>
      <name val="Calibri"/>
    </font>
    <font>
      <b/>
      <sz val="10"/>
      <color theme="1"/>
      <name val="Calibri"/>
    </font>
    <font>
      <sz val="11"/>
      <color theme="1"/>
      <name val="Calibri"/>
    </font>
    <font>
      <b/>
      <sz val="10"/>
      <color rgb="FF404040"/>
      <name val="Calibri"/>
    </font>
    <font>
      <sz val="10"/>
      <color theme="1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8"/>
      <color rgb="FF1F3864"/>
      <name val="Calibri"/>
    </font>
    <font>
      <b/>
      <sz val="9"/>
      <color rgb="FFFFFFFF"/>
      <name val="Calibri"/>
    </font>
    <font>
      <sz val="10"/>
      <color rgb="FF1F3864"/>
      <name val="Calibri"/>
    </font>
    <font>
      <sz val="8"/>
      <name val="Calibri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6B75"/>
        <bgColor rgb="FF1F6B7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2E4A7A"/>
        <bgColor rgb="FF2E4A7A"/>
      </patternFill>
    </fill>
    <fill>
      <patternFill patternType="solid">
        <fgColor rgb="FFFFFDE7"/>
        <bgColor rgb="FFFFFDE7"/>
      </patternFill>
    </fill>
    <fill>
      <patternFill patternType="solid">
        <fgColor rgb="FFFFF3CD"/>
        <bgColor rgb="FFFFF3CD"/>
      </patternFill>
    </fill>
    <fill>
      <patternFill patternType="solid">
        <fgColor rgb="FFFFE0E0"/>
        <bgColor rgb="FFFFE0E0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  <fill>
      <patternFill patternType="solid">
        <fgColor rgb="FFDDEEFF"/>
        <bgColor rgb="FFDDEEFF"/>
      </patternFill>
    </fill>
    <fill>
      <patternFill patternType="solid">
        <fgColor rgb="FFE0F4F5"/>
        <bgColor rgb="FFE0F4F5"/>
      </patternFill>
    </fill>
    <fill>
      <patternFill patternType="solid">
        <fgColor rgb="FFFFF8E1"/>
        <bgColor rgb="FFFFF8E1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theme="2" tint="-0.14999847407452621"/>
        <bgColor rgb="FFFFFDE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7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1" fillId="8" borderId="2" xfId="0" applyFont="1" applyFill="1" applyBorder="1"/>
    <xf numFmtId="0" fontId="12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/>
    <xf numFmtId="0" fontId="13" fillId="8" borderId="2" xfId="0" applyFont="1" applyFill="1" applyBorder="1"/>
    <xf numFmtId="0" fontId="8" fillId="8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6" fillId="0" borderId="0" xfId="0" applyFont="1"/>
    <xf numFmtId="0" fontId="12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left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11" fillId="18" borderId="2" xfId="0" applyFont="1" applyFill="1" applyBorder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2" fontId="1" fillId="0" borderId="0" xfId="0" applyNumberFormat="1" applyFont="1"/>
    <xf numFmtId="0" fontId="21" fillId="0" borderId="0" xfId="1"/>
    <xf numFmtId="14" fontId="1" fillId="0" borderId="0" xfId="0" applyNumberFormat="1" applyFont="1"/>
    <xf numFmtId="1" fontId="10" fillId="4" borderId="2" xfId="0" applyNumberFormat="1" applyFont="1" applyFill="1" applyBorder="1"/>
    <xf numFmtId="0" fontId="22" fillId="1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2" fillId="16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9" fillId="6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4" xfId="0" applyFont="1" applyBorder="1" applyAlignment="1"/>
    <xf numFmtId="0" fontId="6" fillId="7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3" fillId="0" borderId="5" xfId="0" applyFont="1" applyBorder="1" applyAlignment="1"/>
    <xf numFmtId="0" fontId="15" fillId="7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0.496152314816" createdVersion="8" refreshedVersion="8" minRefreshableVersion="3" recordCount="11" xr:uid="{60DA9911-DAB9-4FBC-AB02-AF6D0310BA7C}">
  <cacheSource type="worksheet">
    <worksheetSource ref="A1:L12" sheet="Student Registry"/>
  </cacheSource>
  <cacheFields count="12">
    <cacheField name="RULI" numFmtId="0">
      <sharedItems containsSemiMixedTypes="0" containsString="0" containsNumber="1" containsInteger="1" minValue="128766605" maxValue="1463973098"/>
    </cacheField>
    <cacheField name="Local ID" numFmtId="0">
      <sharedItems/>
    </cacheField>
    <cacheField name="First Name" numFmtId="0">
      <sharedItems containsBlank="1"/>
    </cacheField>
    <cacheField name="Other Name" numFmtId="0">
      <sharedItems containsBlank="1"/>
    </cacheField>
    <cacheField name="Last Name" numFmtId="0">
      <sharedItems containsBlank="1"/>
    </cacheField>
    <cacheField name="Maiden Name" numFmtId="0">
      <sharedItems containsNonDate="0" containsString="0" containsBlank="1"/>
    </cacheField>
    <cacheField name="Date of Birth" numFmtId="0">
      <sharedItems containsNonDate="0" containsDate="1" containsString="0" containsBlank="1" minDate="2005-10-04T00:00:00" maxDate="2008-03-13T00:00:00"/>
    </cacheField>
    <cacheField name="Gender" numFmtId="0">
      <sharedItems containsBlank="1" count="3">
        <s v="Female"/>
        <s v="Male"/>
        <m/>
      </sharedItems>
    </cacheField>
    <cacheField name="Last Updated" numFmtId="0">
      <sharedItems containsNonDate="0" containsString="0" containsBlank="1"/>
    </cacheField>
    <cacheField name="Is FTE" numFmtId="0">
      <sharedItems containsBlank="1"/>
    </cacheField>
    <cacheField name="Year" numFmtId="0">
      <sharedItems containsString="0" containsBlank="1" containsNumber="1" containsInteger="1" minValue="1" maxValue="2"/>
    </cacheField>
    <cacheField name="Age at Time of Reporting" numFmtId="1">
      <sharedItems containsString="0" containsBlank="1" containsNumber="1" containsInteger="1" minValue="17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683315579"/>
    <s v="s11111"/>
    <s v="First Student Name"/>
    <s v="First Student Other Name"/>
    <s v="First Student Last Name"/>
    <m/>
    <d v="2008-03-12T00:00:00"/>
    <x v="0"/>
    <m/>
    <s v="Y"/>
    <n v="1"/>
    <n v="17"/>
  </r>
  <r>
    <n v="128766605"/>
    <s v="s11112"/>
    <s v="Other Student First Name"/>
    <m/>
    <s v="Other Student Last Name"/>
    <m/>
    <d v="2005-10-04T00:00:00"/>
    <x v="0"/>
    <m/>
    <s v="N"/>
    <n v="1"/>
    <n v="20"/>
  </r>
  <r>
    <n v="768489272"/>
    <s v="s11113"/>
    <s v="Unique Student First Name"/>
    <m/>
    <s v="Unique Student Last Name"/>
    <m/>
    <d v="2006-04-20T00:00:00"/>
    <x v="1"/>
    <m/>
    <s v="N"/>
    <n v="2"/>
    <n v="19"/>
  </r>
  <r>
    <n v="621754321"/>
    <s v="s11114"/>
    <m/>
    <m/>
    <m/>
    <m/>
    <m/>
    <x v="2"/>
    <m/>
    <m/>
    <m/>
    <m/>
  </r>
  <r>
    <n v="1311027310"/>
    <s v="s11115"/>
    <m/>
    <m/>
    <m/>
    <m/>
    <m/>
    <x v="2"/>
    <m/>
    <m/>
    <m/>
    <m/>
  </r>
  <r>
    <n v="886129877"/>
    <s v="s11116"/>
    <m/>
    <m/>
    <m/>
    <m/>
    <m/>
    <x v="2"/>
    <m/>
    <m/>
    <m/>
    <m/>
  </r>
  <r>
    <n v="605390788"/>
    <s v="s11117"/>
    <m/>
    <m/>
    <m/>
    <m/>
    <m/>
    <x v="2"/>
    <m/>
    <m/>
    <m/>
    <m/>
  </r>
  <r>
    <n v="1463973098"/>
    <s v="s11118"/>
    <m/>
    <m/>
    <m/>
    <m/>
    <m/>
    <x v="2"/>
    <m/>
    <m/>
    <m/>
    <m/>
  </r>
  <r>
    <n v="929296717"/>
    <s v="s11119"/>
    <m/>
    <m/>
    <m/>
    <m/>
    <m/>
    <x v="2"/>
    <m/>
    <m/>
    <m/>
    <m/>
  </r>
  <r>
    <n v="636917263"/>
    <s v="s11120"/>
    <m/>
    <m/>
    <m/>
    <m/>
    <m/>
    <x v="2"/>
    <m/>
    <m/>
    <m/>
    <m/>
  </r>
  <r>
    <n v="1072038854"/>
    <s v="s11121"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A2B1A-6D1C-4A51-9201-A0F055B8C399}" name="PivotTable3" cacheId="5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:B4" firstHeaderRow="1" firstDataRow="1" firstDataCol="1"/>
  <pivotFields count="12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1"/>
        <item h="1" x="2"/>
      </items>
    </pivotField>
    <pivotField showAll="0" defaultSubtotal="0"/>
    <pivotField showAll="0" defaultSubtotal="0"/>
    <pivotField dataField="1" showAll="0" defaultSubtotal="0"/>
    <pivotField showAll="0" defaultSubtotal="0"/>
  </pivotFields>
  <rowFields count="1">
    <field x="7"/>
  </rowFields>
  <rowItems count="2">
    <i>
      <x/>
    </i>
    <i>
      <x v="1"/>
    </i>
  </rowItems>
  <colItems count="1">
    <i/>
  </colItems>
  <dataFields count="1">
    <dataField name="Count of Year" fld="10" subtotal="count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showGridLines="0" zoomScale="130" zoomScaleNormal="130" workbookViewId="0">
      <pane ySplit="5" topLeftCell="A6" activePane="bottomLeft" state="frozen"/>
      <selection pane="bottomLeft" activeCell="B6" sqref="B6"/>
    </sheetView>
  </sheetViews>
  <sheetFormatPr defaultColWidth="14.42578125" defaultRowHeight="15" customHeight="1"/>
  <cols>
    <col min="1" max="1" width="14" customWidth="1"/>
    <col min="2" max="2" width="40" customWidth="1"/>
    <col min="3" max="3" width="18" customWidth="1"/>
    <col min="4" max="4" width="38" customWidth="1"/>
    <col min="5" max="5" width="40" customWidth="1"/>
    <col min="6" max="6" width="22" customWidth="1"/>
    <col min="7" max="26" width="8.7109375" customWidth="1"/>
  </cols>
  <sheetData>
    <row r="1" spans="1:6" ht="27.75" customHeight="1">
      <c r="A1" s="68" t="s">
        <v>0</v>
      </c>
      <c r="B1" s="69"/>
      <c r="C1" s="69"/>
      <c r="D1" s="69"/>
      <c r="E1" s="69"/>
      <c r="F1" s="69"/>
    </row>
    <row r="2" spans="1:6" ht="21.75" customHeight="1">
      <c r="A2" s="70" t="s">
        <v>1</v>
      </c>
      <c r="B2" s="69"/>
      <c r="C2" s="69"/>
      <c r="D2" s="69"/>
      <c r="E2" s="69"/>
      <c r="F2" s="69"/>
    </row>
    <row r="3" spans="1:6" ht="15.75" customHeight="1">
      <c r="A3" s="71" t="s">
        <v>2</v>
      </c>
      <c r="B3" s="69"/>
      <c r="C3" s="69"/>
      <c r="D3" s="69"/>
      <c r="E3" s="69"/>
      <c r="F3" s="69"/>
    </row>
    <row r="5" spans="1:6" ht="21.7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30" customHeight="1">
      <c r="A6" s="2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ht="30" customHeight="1">
      <c r="A7" s="2" t="s">
        <v>15</v>
      </c>
      <c r="B7" s="3" t="s">
        <v>16</v>
      </c>
      <c r="C7" s="3" t="s">
        <v>11</v>
      </c>
      <c r="D7" s="3" t="s">
        <v>17</v>
      </c>
      <c r="E7" s="3" t="s">
        <v>18</v>
      </c>
      <c r="F7" s="3" t="s">
        <v>19</v>
      </c>
    </row>
    <row r="8" spans="1:6" ht="30" customHeight="1">
      <c r="A8" s="2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</row>
    <row r="9" spans="1:6" ht="30" customHeight="1">
      <c r="A9" s="2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25</v>
      </c>
    </row>
    <row r="10" spans="1:6" ht="30" customHeight="1">
      <c r="A10" s="2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25</v>
      </c>
    </row>
    <row r="11" spans="1:6" ht="30" customHeight="1">
      <c r="A11" s="2" t="s">
        <v>36</v>
      </c>
      <c r="B11" s="3" t="s">
        <v>37</v>
      </c>
      <c r="C11" s="3" t="s">
        <v>33</v>
      </c>
      <c r="D11" s="3" t="s">
        <v>38</v>
      </c>
      <c r="E11" s="3" t="s">
        <v>39</v>
      </c>
      <c r="F11" s="3" t="s">
        <v>25</v>
      </c>
    </row>
    <row r="12" spans="1:6" ht="30" customHeight="1">
      <c r="A12" s="2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</row>
    <row r="13" spans="1:6" ht="30" customHeight="1">
      <c r="A13" s="2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</row>
    <row r="14" spans="1:6" ht="30" customHeight="1">
      <c r="A14" s="2" t="s">
        <v>52</v>
      </c>
      <c r="B14" s="3" t="s">
        <v>53</v>
      </c>
      <c r="C14" s="3" t="s">
        <v>33</v>
      </c>
      <c r="D14" s="3" t="s">
        <v>54</v>
      </c>
      <c r="E14" s="3" t="s">
        <v>55</v>
      </c>
      <c r="F14" s="3" t="s">
        <v>56</v>
      </c>
    </row>
    <row r="15" spans="1:6" ht="30" customHeight="1">
      <c r="A15" s="2" t="s">
        <v>57</v>
      </c>
      <c r="B15" s="3" t="s">
        <v>58</v>
      </c>
      <c r="C15" s="3" t="s">
        <v>59</v>
      </c>
      <c r="D15" s="3" t="s">
        <v>60</v>
      </c>
      <c r="E15" s="3" t="s">
        <v>61</v>
      </c>
      <c r="F15" s="3" t="s">
        <v>62</v>
      </c>
    </row>
    <row r="16" spans="1:6" ht="30" customHeight="1">
      <c r="A16" s="2" t="s">
        <v>63</v>
      </c>
      <c r="B16" s="3" t="s">
        <v>64</v>
      </c>
      <c r="C16" s="3" t="s">
        <v>33</v>
      </c>
      <c r="D16" s="3" t="s">
        <v>65</v>
      </c>
      <c r="E16" s="3" t="s">
        <v>66</v>
      </c>
      <c r="F16" s="3" t="s">
        <v>62</v>
      </c>
    </row>
    <row r="17" spans="1:6" ht="30" customHeight="1">
      <c r="A17" s="2" t="s">
        <v>67</v>
      </c>
      <c r="B17" s="3" t="s">
        <v>68</v>
      </c>
      <c r="C17" s="3" t="s">
        <v>59</v>
      </c>
      <c r="D17" s="3" t="s">
        <v>60</v>
      </c>
      <c r="E17" s="3" t="s">
        <v>69</v>
      </c>
      <c r="F17" s="3" t="s">
        <v>62</v>
      </c>
    </row>
    <row r="18" spans="1:6" ht="30" customHeight="1">
      <c r="A18" s="2" t="s">
        <v>70</v>
      </c>
      <c r="B18" s="3" t="s">
        <v>71</v>
      </c>
      <c r="C18" s="3" t="s">
        <v>59</v>
      </c>
      <c r="D18" s="3" t="s">
        <v>72</v>
      </c>
      <c r="E18" s="3" t="s">
        <v>73</v>
      </c>
      <c r="F18" s="3" t="s">
        <v>25</v>
      </c>
    </row>
    <row r="19" spans="1:6" ht="30" customHeight="1">
      <c r="A19" s="2" t="s">
        <v>74</v>
      </c>
      <c r="B19" s="3" t="s">
        <v>75</v>
      </c>
      <c r="C19" s="3" t="s">
        <v>33</v>
      </c>
      <c r="D19" s="3" t="s">
        <v>76</v>
      </c>
      <c r="E19" s="3" t="s">
        <v>77</v>
      </c>
      <c r="F19" s="3" t="s">
        <v>78</v>
      </c>
    </row>
    <row r="20" spans="1:6" ht="30" customHeight="1">
      <c r="A20" s="2" t="s">
        <v>79</v>
      </c>
      <c r="B20" s="3" t="s">
        <v>80</v>
      </c>
      <c r="C20" s="3" t="s">
        <v>33</v>
      </c>
      <c r="D20" s="3" t="s">
        <v>81</v>
      </c>
      <c r="E20" s="3" t="s">
        <v>82</v>
      </c>
      <c r="F20" s="3" t="s">
        <v>78</v>
      </c>
    </row>
    <row r="21" spans="1:6" ht="15.75" customHeight="1"/>
    <row r="22" spans="1:6" ht="36" customHeight="1">
      <c r="A22" s="59" t="s">
        <v>83</v>
      </c>
      <c r="B22" s="72"/>
      <c r="C22" s="72"/>
      <c r="D22" s="72"/>
      <c r="E22" s="72"/>
      <c r="F22" s="72"/>
    </row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22:F2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903E-C7B2-45B1-977D-13753AC4B7E4}">
  <dimension ref="A1:E3"/>
  <sheetViews>
    <sheetView zoomScale="241" workbookViewId="0">
      <selection activeCell="A4" sqref="A4"/>
    </sheetView>
  </sheetViews>
  <sheetFormatPr defaultRowHeight="14.45"/>
  <cols>
    <col min="2" max="2" width="15.28515625" bestFit="1" customWidth="1"/>
    <col min="3" max="3" width="12.140625" bestFit="1" customWidth="1"/>
    <col min="4" max="4" width="7.5703125" bestFit="1" customWidth="1"/>
    <col min="5" max="5" width="18.140625" bestFit="1" customWidth="1"/>
  </cols>
  <sheetData>
    <row r="1" spans="1:5">
      <c r="A1" t="s">
        <v>84</v>
      </c>
      <c r="B1" t="s">
        <v>85</v>
      </c>
      <c r="C1" t="s">
        <v>86</v>
      </c>
      <c r="D1" t="s">
        <v>87</v>
      </c>
      <c r="E1" t="s">
        <v>88</v>
      </c>
    </row>
    <row r="2" spans="1:5">
      <c r="A2">
        <v>11111</v>
      </c>
      <c r="B2" t="s">
        <v>89</v>
      </c>
      <c r="C2" t="s">
        <v>90</v>
      </c>
    </row>
    <row r="3" spans="1:5">
      <c r="A3">
        <v>22222</v>
      </c>
      <c r="B3" t="s">
        <v>91</v>
      </c>
      <c r="C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8CB4-19E7-4B28-BA53-6489BDAEC8A9}">
  <dimension ref="A2:B4"/>
  <sheetViews>
    <sheetView workbookViewId="0">
      <selection activeCell="A2" sqref="A2"/>
    </sheetView>
  </sheetViews>
  <sheetFormatPr defaultRowHeight="14.45"/>
  <cols>
    <col min="1" max="1" width="14.28515625" bestFit="1" customWidth="1"/>
    <col min="2" max="2" width="13.42578125" bestFit="1" customWidth="1"/>
  </cols>
  <sheetData>
    <row r="2" spans="1:2">
      <c r="A2" s="57" t="s">
        <v>93</v>
      </c>
      <c r="B2" t="s">
        <v>94</v>
      </c>
    </row>
    <row r="3" spans="1:2">
      <c r="A3" s="58" t="s">
        <v>95</v>
      </c>
      <c r="B3">
        <v>2</v>
      </c>
    </row>
    <row r="4" spans="1:2">
      <c r="A4" s="58" t="s">
        <v>96</v>
      </c>
      <c r="B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7788-EA22-473F-9BC6-D45D9C4EA5E5}">
  <dimension ref="A1:L12"/>
  <sheetViews>
    <sheetView workbookViewId="0">
      <selection activeCell="G30" sqref="G30"/>
    </sheetView>
  </sheetViews>
  <sheetFormatPr defaultRowHeight="14.45"/>
  <cols>
    <col min="1" max="1" width="10.85546875" bestFit="1" customWidth="1"/>
    <col min="2" max="2" width="7.42578125" bestFit="1" customWidth="1"/>
    <col min="3" max="3" width="24.140625" bestFit="1" customWidth="1"/>
    <col min="4" max="4" width="22.85546875" bestFit="1" customWidth="1"/>
    <col min="5" max="5" width="21.28515625" bestFit="1" customWidth="1"/>
    <col min="6" max="6" width="12.85546875" bestFit="1" customWidth="1"/>
    <col min="7" max="7" width="11.5703125" style="47" customWidth="1"/>
    <col min="8" max="8" width="7.140625" bestFit="1" customWidth="1"/>
    <col min="9" max="9" width="11.85546875" bestFit="1" customWidth="1"/>
    <col min="12" max="12" width="21.85546875" style="45" customWidth="1"/>
  </cols>
  <sheetData>
    <row r="1" spans="1:1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s="47" t="s">
        <v>103</v>
      </c>
      <c r="H1" t="s">
        <v>104</v>
      </c>
      <c r="I1" t="s">
        <v>105</v>
      </c>
      <c r="J1" s="48" t="s">
        <v>106</v>
      </c>
      <c r="K1" s="48" t="s">
        <v>107</v>
      </c>
      <c r="L1" s="50" t="s">
        <v>108</v>
      </c>
    </row>
    <row r="2" spans="1:12">
      <c r="A2">
        <v>683315579</v>
      </c>
      <c r="B2" t="s">
        <v>109</v>
      </c>
      <c r="C2" t="s">
        <v>110</v>
      </c>
      <c r="D2" t="s">
        <v>111</v>
      </c>
      <c r="E2" t="s">
        <v>112</v>
      </c>
      <c r="G2" s="46">
        <v>39519</v>
      </c>
      <c r="H2" t="s">
        <v>95</v>
      </c>
      <c r="J2" s="48" t="s">
        <v>113</v>
      </c>
      <c r="K2">
        <v>1</v>
      </c>
      <c r="L2" s="49">
        <f>(Background!$B$6-YEAR('Student Registry'!G2))</f>
        <v>17</v>
      </c>
    </row>
    <row r="3" spans="1:12">
      <c r="A3">
        <v>128766605</v>
      </c>
      <c r="B3" t="s">
        <v>114</v>
      </c>
      <c r="C3" s="48" t="s">
        <v>115</v>
      </c>
      <c r="E3" s="48" t="s">
        <v>116</v>
      </c>
      <c r="G3" s="46">
        <v>38629</v>
      </c>
      <c r="H3" s="48" t="s">
        <v>95</v>
      </c>
      <c r="J3" s="48" t="s">
        <v>117</v>
      </c>
      <c r="K3">
        <v>1</v>
      </c>
      <c r="L3" s="49">
        <f>(Background!$B$6-YEAR('Student Registry'!G3))</f>
        <v>20</v>
      </c>
    </row>
    <row r="4" spans="1:12">
      <c r="A4">
        <v>768489272</v>
      </c>
      <c r="B4" t="s">
        <v>118</v>
      </c>
      <c r="C4" s="48" t="s">
        <v>119</v>
      </c>
      <c r="E4" s="48" t="s">
        <v>120</v>
      </c>
      <c r="G4" s="46">
        <v>38827</v>
      </c>
      <c r="H4" s="48" t="s">
        <v>96</v>
      </c>
      <c r="J4" s="48" t="s">
        <v>117</v>
      </c>
      <c r="K4">
        <v>2</v>
      </c>
      <c r="L4" s="49">
        <f>(Background!$B$6-YEAR('Student Registry'!G4))</f>
        <v>19</v>
      </c>
    </row>
    <row r="5" spans="1:12">
      <c r="L5" s="49"/>
    </row>
    <row r="6" spans="1:12">
      <c r="L6" s="49"/>
    </row>
    <row r="7" spans="1:12">
      <c r="L7" s="49"/>
    </row>
    <row r="8" spans="1:12">
      <c r="L8" s="49"/>
    </row>
    <row r="9" spans="1:12">
      <c r="L9" s="49"/>
    </row>
    <row r="10" spans="1:12">
      <c r="L10" s="49"/>
    </row>
    <row r="11" spans="1:12">
      <c r="L11" s="49"/>
    </row>
    <row r="12" spans="1:12">
      <c r="L12" s="49"/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showGridLines="0" topLeftCell="A3" zoomScale="140" zoomScaleNormal="140" workbookViewId="0">
      <selection sqref="A1:B1"/>
    </sheetView>
  </sheetViews>
  <sheetFormatPr defaultColWidth="14.42578125" defaultRowHeight="15" customHeight="1"/>
  <cols>
    <col min="1" max="1" width="28" customWidth="1"/>
    <col min="2" max="2" width="70" customWidth="1"/>
    <col min="3" max="26" width="8.7109375" customWidth="1"/>
  </cols>
  <sheetData>
    <row r="1" spans="1:2" ht="27.75" customHeight="1">
      <c r="A1" s="68" t="s">
        <v>121</v>
      </c>
      <c r="B1" s="69"/>
    </row>
    <row r="2" spans="1:2" ht="21.75" customHeight="1">
      <c r="A2" s="70" t="s">
        <v>122</v>
      </c>
      <c r="B2" s="69"/>
    </row>
    <row r="3" spans="1:2" ht="15.75" customHeight="1">
      <c r="A3" s="71"/>
      <c r="B3" s="69"/>
    </row>
    <row r="5" spans="1:2" ht="14.45">
      <c r="A5" s="1" t="s">
        <v>123</v>
      </c>
      <c r="B5" s="1" t="s">
        <v>124</v>
      </c>
    </row>
    <row r="6" spans="1:2" ht="15.75" customHeight="1">
      <c r="A6" s="6" t="s">
        <v>125</v>
      </c>
      <c r="B6" s="7" t="s">
        <v>126</v>
      </c>
    </row>
    <row r="7" spans="1:2" ht="15.75" customHeight="1">
      <c r="A7" s="8" t="s">
        <v>127</v>
      </c>
      <c r="B7" s="3" t="s">
        <v>128</v>
      </c>
    </row>
    <row r="8" spans="1:2" ht="15.75" customHeight="1">
      <c r="A8" s="6" t="s">
        <v>129</v>
      </c>
      <c r="B8" s="7" t="s">
        <v>130</v>
      </c>
    </row>
    <row r="9" spans="1:2" ht="15.75" customHeight="1">
      <c r="A9" s="8" t="s">
        <v>131</v>
      </c>
      <c r="B9" s="3" t="s">
        <v>132</v>
      </c>
    </row>
    <row r="10" spans="1:2" ht="15.75" customHeight="1">
      <c r="A10" s="6" t="s">
        <v>133</v>
      </c>
      <c r="B10" s="7" t="s">
        <v>134</v>
      </c>
    </row>
    <row r="11" spans="1:2" ht="15.75" customHeight="1">
      <c r="A11" s="8" t="s">
        <v>135</v>
      </c>
      <c r="B11" s="3" t="s">
        <v>136</v>
      </c>
    </row>
    <row r="12" spans="1:2" ht="15.75" customHeight="1">
      <c r="A12" s="6" t="s">
        <v>137</v>
      </c>
      <c r="B12" s="7" t="s">
        <v>138</v>
      </c>
    </row>
    <row r="13" spans="1:2" ht="15.75" customHeight="1">
      <c r="A13" s="8" t="s">
        <v>139</v>
      </c>
      <c r="B13" s="3" t="s">
        <v>140</v>
      </c>
    </row>
    <row r="14" spans="1:2" ht="15.75" customHeight="1">
      <c r="A14" s="6" t="s">
        <v>141</v>
      </c>
      <c r="B14" s="7" t="s">
        <v>142</v>
      </c>
    </row>
    <row r="15" spans="1:2" ht="15.75" customHeight="1">
      <c r="A15" s="8" t="s">
        <v>143</v>
      </c>
      <c r="B15" s="3" t="s">
        <v>144</v>
      </c>
    </row>
    <row r="16" spans="1:2" ht="15.75" customHeight="1">
      <c r="A16" s="6" t="s">
        <v>145</v>
      </c>
      <c r="B16" s="7" t="s">
        <v>146</v>
      </c>
    </row>
    <row r="17" spans="1:2" ht="15.75" customHeight="1">
      <c r="A17" s="8" t="s">
        <v>147</v>
      </c>
      <c r="B17" s="3" t="s">
        <v>148</v>
      </c>
    </row>
    <row r="18" spans="1:2" ht="15.75" customHeight="1">
      <c r="A18" s="6" t="s">
        <v>149</v>
      </c>
      <c r="B18" s="7" t="s">
        <v>150</v>
      </c>
    </row>
    <row r="19" spans="1:2" ht="15.75" customHeight="1">
      <c r="A19" s="8" t="s">
        <v>151</v>
      </c>
      <c r="B19" s="3" t="s">
        <v>152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:B3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2C09-3345-4B6B-9F0B-190ABB3F17C5}">
  <dimension ref="A1:V12"/>
  <sheetViews>
    <sheetView topLeftCell="D1" zoomScale="150" zoomScaleNormal="150" workbookViewId="0">
      <selection activeCell="G3" sqref="G3"/>
    </sheetView>
  </sheetViews>
  <sheetFormatPr defaultRowHeight="14.45"/>
  <cols>
    <col min="1" max="1" width="10.85546875" bestFit="1" customWidth="1"/>
    <col min="2" max="2" width="8.28515625" bestFit="1" customWidth="1"/>
    <col min="3" max="3" width="23.5703125" bestFit="1" customWidth="1"/>
    <col min="4" max="4" width="22.42578125" bestFit="1" customWidth="1"/>
    <col min="5" max="5" width="23.28515625" bestFit="1" customWidth="1"/>
    <col min="6" max="6" width="12.5703125" bestFit="1" customWidth="1"/>
    <col min="7" max="7" width="11.42578125" bestFit="1" customWidth="1"/>
    <col min="8" max="8" width="7.140625" bestFit="1" customWidth="1"/>
    <col min="9" max="9" width="11.7109375" bestFit="1" customWidth="1"/>
    <col min="11" max="11" width="21.5703125" bestFit="1" customWidth="1"/>
    <col min="12" max="12" width="26.85546875" bestFit="1" customWidth="1"/>
    <col min="13" max="13" width="12.5703125" bestFit="1" customWidth="1"/>
    <col min="14" max="14" width="15.85546875" bestFit="1" customWidth="1"/>
    <col min="15" max="15" width="18.5703125" bestFit="1" customWidth="1"/>
    <col min="16" max="16" width="23.5703125" bestFit="1" customWidth="1"/>
    <col min="17" max="17" width="9.85546875" bestFit="1" customWidth="1"/>
    <col min="18" max="18" width="18.85546875" bestFit="1" customWidth="1"/>
    <col min="19" max="19" width="19.42578125" bestFit="1" customWidth="1"/>
    <col min="20" max="20" width="28.7109375" bestFit="1" customWidth="1"/>
    <col min="21" max="21" width="24.28515625" bestFit="1" customWidth="1"/>
    <col min="22" max="22" width="30.28515625" bestFit="1" customWidth="1"/>
  </cols>
  <sheetData>
    <row r="1" spans="1:22">
      <c r="A1" s="48" t="s">
        <v>84</v>
      </c>
      <c r="B1" t="s">
        <v>153</v>
      </c>
      <c r="C1" t="s">
        <v>99</v>
      </c>
      <c r="D1" t="s">
        <v>100</v>
      </c>
      <c r="E1" s="48" t="s">
        <v>154</v>
      </c>
      <c r="F1" t="s">
        <v>102</v>
      </c>
      <c r="G1" s="47" t="s">
        <v>103</v>
      </c>
      <c r="H1" t="s">
        <v>155</v>
      </c>
      <c r="I1" t="s">
        <v>105</v>
      </c>
      <c r="K1" s="50" t="s">
        <v>108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</row>
    <row r="2" spans="1:22">
      <c r="A2">
        <v>699493567</v>
      </c>
      <c r="B2" s="48" t="s">
        <v>167</v>
      </c>
      <c r="C2" t="s">
        <v>168</v>
      </c>
      <c r="D2" t="s">
        <v>169</v>
      </c>
      <c r="E2" t="s">
        <v>170</v>
      </c>
      <c r="G2" s="46">
        <v>36597</v>
      </c>
      <c r="H2" t="s">
        <v>95</v>
      </c>
      <c r="K2" s="49">
        <f>(Background!$B$6-YEAR('Teacher Registry'!G2))</f>
        <v>25</v>
      </c>
      <c r="L2" t="s">
        <v>171</v>
      </c>
      <c r="M2" t="s">
        <v>172</v>
      </c>
      <c r="N2" t="s">
        <v>173</v>
      </c>
      <c r="O2">
        <v>35</v>
      </c>
      <c r="P2">
        <v>12</v>
      </c>
      <c r="Q2" t="s">
        <v>174</v>
      </c>
      <c r="R2" t="s">
        <v>175</v>
      </c>
      <c r="S2" t="s">
        <v>176</v>
      </c>
      <c r="T2">
        <v>16</v>
      </c>
      <c r="U2" t="s">
        <v>177</v>
      </c>
      <c r="V2" t="s">
        <v>177</v>
      </c>
    </row>
    <row r="3" spans="1:22">
      <c r="A3">
        <v>699033694</v>
      </c>
      <c r="B3" s="48" t="s">
        <v>178</v>
      </c>
      <c r="C3" s="48" t="s">
        <v>179</v>
      </c>
      <c r="E3" s="48" t="s">
        <v>180</v>
      </c>
      <c r="G3" s="46">
        <v>35342</v>
      </c>
      <c r="H3" s="48" t="s">
        <v>95</v>
      </c>
      <c r="K3" s="49">
        <f>(Background!$B$6-YEAR('Teacher Registry'!G3))</f>
        <v>29</v>
      </c>
      <c r="L3" s="48" t="s">
        <v>172</v>
      </c>
      <c r="M3" s="48" t="s">
        <v>172</v>
      </c>
      <c r="N3" s="48" t="s">
        <v>181</v>
      </c>
      <c r="O3">
        <v>25</v>
      </c>
      <c r="P3">
        <v>13</v>
      </c>
    </row>
    <row r="4" spans="1:22">
      <c r="A4">
        <v>379804210</v>
      </c>
      <c r="B4" s="48" t="s">
        <v>182</v>
      </c>
      <c r="C4" s="48" t="s">
        <v>183</v>
      </c>
      <c r="E4" s="48" t="s">
        <v>184</v>
      </c>
      <c r="G4" s="46">
        <v>29331</v>
      </c>
      <c r="H4" s="48" t="s">
        <v>96</v>
      </c>
      <c r="K4" s="49">
        <f>(Background!$B$6-YEAR('Teacher Registry'!G4))</f>
        <v>45</v>
      </c>
      <c r="L4" s="48" t="s">
        <v>185</v>
      </c>
      <c r="M4" s="48" t="s">
        <v>185</v>
      </c>
      <c r="N4" s="48" t="s">
        <v>186</v>
      </c>
      <c r="O4">
        <v>20</v>
      </c>
      <c r="P4">
        <v>25</v>
      </c>
    </row>
    <row r="5" spans="1:22">
      <c r="B5" s="48"/>
    </row>
    <row r="6" spans="1:22">
      <c r="B6" s="48"/>
      <c r="O6" s="51"/>
    </row>
    <row r="7" spans="1:22">
      <c r="B7" s="48"/>
    </row>
    <row r="8" spans="1:22">
      <c r="B8" s="48"/>
    </row>
    <row r="9" spans="1:22">
      <c r="B9" s="48"/>
    </row>
    <row r="10" spans="1:22">
      <c r="B10" s="48"/>
    </row>
    <row r="11" spans="1:22">
      <c r="B11" s="48"/>
    </row>
    <row r="12" spans="1:22">
      <c r="B12" s="48"/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BC51-BBF6-4861-9FED-476F84ADD69D}">
  <dimension ref="A1:H15"/>
  <sheetViews>
    <sheetView zoomScale="160" zoomScaleNormal="160" workbookViewId="0">
      <selection sqref="A1:M1"/>
    </sheetView>
  </sheetViews>
  <sheetFormatPr defaultRowHeight="14.45"/>
  <cols>
    <col min="1" max="1" width="16" bestFit="1" customWidth="1"/>
    <col min="2" max="2" width="23.42578125" bestFit="1" customWidth="1"/>
    <col min="3" max="3" width="20.7109375" bestFit="1" customWidth="1"/>
    <col min="5" max="5" width="15.5703125" bestFit="1" customWidth="1"/>
    <col min="6" max="6" width="10.42578125" bestFit="1" customWidth="1"/>
    <col min="7" max="7" width="26.7109375" bestFit="1" customWidth="1"/>
  </cols>
  <sheetData>
    <row r="1" spans="1:8">
      <c r="A1" s="48" t="s">
        <v>187</v>
      </c>
      <c r="B1" s="48" t="s">
        <v>188</v>
      </c>
      <c r="C1" s="48" t="s">
        <v>189</v>
      </c>
      <c r="D1" s="48" t="s">
        <v>190</v>
      </c>
      <c r="E1" s="48" t="s">
        <v>191</v>
      </c>
      <c r="F1" s="48" t="s">
        <v>192</v>
      </c>
      <c r="G1" s="48" t="s">
        <v>193</v>
      </c>
      <c r="H1" s="48" t="s">
        <v>107</v>
      </c>
    </row>
    <row r="2" spans="1:8">
      <c r="A2" s="48" t="s">
        <v>194</v>
      </c>
      <c r="B2" t="s">
        <v>110</v>
      </c>
      <c r="D2" t="str">
        <f>IF(ISBLANK(C2),"Student","Teacher")</f>
        <v>Student</v>
      </c>
      <c r="E2" s="46">
        <v>45934</v>
      </c>
      <c r="F2" s="46">
        <v>46057</v>
      </c>
      <c r="G2" s="48" t="str">
        <f>VLOOKUP(A2,'Course Registry'!$A$2:$C$21,2,TRUE)</f>
        <v>Certificate</v>
      </c>
      <c r="H2">
        <f>VLOOKUP(B2,'Student Registry'!C2:L12,9,FALSE)</f>
        <v>1</v>
      </c>
    </row>
    <row r="3" spans="1:8">
      <c r="A3" s="48" t="s">
        <v>194</v>
      </c>
      <c r="C3" t="s">
        <v>170</v>
      </c>
      <c r="D3" t="str">
        <f t="shared" ref="D3:D4" si="0">IF(ISBLANK(C3),"Student","Teacher")</f>
        <v>Teacher</v>
      </c>
      <c r="E3" s="46">
        <v>45934</v>
      </c>
      <c r="F3" s="46">
        <v>46057</v>
      </c>
      <c r="G3" s="48" t="str">
        <f>VLOOKUP(A3,'Course Registry'!$A$2:$C$21,2,TRUE)</f>
        <v>Certificate</v>
      </c>
      <c r="H3">
        <v>1</v>
      </c>
    </row>
    <row r="4" spans="1:8">
      <c r="A4" s="48" t="s">
        <v>194</v>
      </c>
      <c r="B4" t="s">
        <v>115</v>
      </c>
      <c r="D4" t="str">
        <f t="shared" si="0"/>
        <v>Student</v>
      </c>
      <c r="E4" s="46">
        <v>45965</v>
      </c>
      <c r="F4" s="52">
        <v>46085</v>
      </c>
      <c r="G4" s="48" t="str">
        <f>VLOOKUP(A4,'Course Registry'!$A$2:$C$21,2,TRUE)</f>
        <v>Certificate</v>
      </c>
      <c r="H4">
        <v>1</v>
      </c>
    </row>
    <row r="5" spans="1:8">
      <c r="A5" s="48" t="s">
        <v>194</v>
      </c>
      <c r="B5" t="s">
        <v>119</v>
      </c>
      <c r="G5" s="48" t="str">
        <f>VLOOKUP(A5,'Course Registry'!$A$2:$C$21,2,TRUE)</f>
        <v>Certificate</v>
      </c>
      <c r="H5">
        <v>2</v>
      </c>
    </row>
    <row r="6" spans="1:8">
      <c r="A6" s="48"/>
      <c r="G6" s="48"/>
    </row>
    <row r="7" spans="1:8">
      <c r="A7" s="48"/>
      <c r="G7" s="48"/>
    </row>
    <row r="8" spans="1:8">
      <c r="A8" s="48"/>
      <c r="G8" s="48"/>
    </row>
    <row r="9" spans="1:8">
      <c r="A9" s="48"/>
      <c r="G9" s="48"/>
    </row>
    <row r="10" spans="1:8">
      <c r="A10" s="48"/>
      <c r="G10" s="48"/>
    </row>
    <row r="11" spans="1:8">
      <c r="A11" s="48"/>
      <c r="G11" s="48"/>
    </row>
    <row r="12" spans="1:8">
      <c r="A12" s="48"/>
      <c r="G12" s="48"/>
    </row>
    <row r="13" spans="1:8">
      <c r="A13" s="48"/>
      <c r="G13" s="48"/>
    </row>
    <row r="14" spans="1:8">
      <c r="A14" s="48"/>
      <c r="G14" s="48"/>
    </row>
    <row r="15" spans="1:8">
      <c r="A15" s="48"/>
      <c r="G15" s="48"/>
    </row>
  </sheetData>
  <phoneticPr fontId="2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636259-BE51-4DE8-B2A8-0B8F72CAE2FD}">
          <x14:formula1>
            <xm:f>'Course Registry'!$A$2:$A$21</xm:f>
          </x14:formula1>
          <xm:sqref>A2:A15</xm:sqref>
        </x14:dataValidation>
        <x14:dataValidation type="list" allowBlank="1" showInputMessage="1" showErrorMessage="1" xr:uid="{B5D5B46C-F084-47AE-9590-CB39125B0233}">
          <x14:formula1>
            <xm:f>'Student Registry'!$C$2:$C$12</xm:f>
          </x14:formula1>
          <xm:sqref>B2:B15</xm:sqref>
        </x14:dataValidation>
        <x14:dataValidation type="list" allowBlank="1" showInputMessage="1" showErrorMessage="1" xr:uid="{60295536-BEE4-4025-B9BE-EEB7094F10E6}">
          <x14:formula1>
            <xm:f>'Teacher Registry'!$E$2:$E$15</xm:f>
          </x14:formula1>
          <xm:sqref>C2:C15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4B9B-CD4E-428A-BD9F-A798821A2210}">
  <dimension ref="A1:J21"/>
  <sheetViews>
    <sheetView workbookViewId="0">
      <selection activeCell="J7" sqref="J7"/>
    </sheetView>
  </sheetViews>
  <sheetFormatPr defaultRowHeight="14.45"/>
  <cols>
    <col min="1" max="1" width="10.7109375" customWidth="1"/>
    <col min="2" max="3" width="27.42578125" customWidth="1"/>
    <col min="4" max="4" width="11.85546875" bestFit="1" customWidth="1"/>
    <col min="5" max="5" width="6.85546875" bestFit="1" customWidth="1"/>
    <col min="6" max="6" width="13.140625" bestFit="1" customWidth="1"/>
    <col min="7" max="10" width="15.85546875" bestFit="1" customWidth="1"/>
  </cols>
  <sheetData>
    <row r="1" spans="1:10" ht="20.100000000000001" customHeight="1">
      <c r="A1" t="s">
        <v>195</v>
      </c>
      <c r="B1" t="s">
        <v>196</v>
      </c>
      <c r="C1" t="s">
        <v>197</v>
      </c>
      <c r="D1" s="55" t="s">
        <v>198</v>
      </c>
      <c r="E1" s="55" t="s">
        <v>199</v>
      </c>
      <c r="F1" s="48" t="s">
        <v>200</v>
      </c>
      <c r="G1" s="48" t="s">
        <v>201</v>
      </c>
      <c r="H1" s="48" t="s">
        <v>202</v>
      </c>
      <c r="I1" s="48" t="s">
        <v>203</v>
      </c>
      <c r="J1" s="48" t="s">
        <v>204</v>
      </c>
    </row>
    <row r="2" spans="1:10">
      <c r="A2" t="s">
        <v>194</v>
      </c>
      <c r="B2" t="s">
        <v>205</v>
      </c>
      <c r="C2" t="s">
        <v>205</v>
      </c>
      <c r="D2" s="48" t="s">
        <v>177</v>
      </c>
      <c r="E2" s="48" t="s">
        <v>113</v>
      </c>
      <c r="F2">
        <v>1</v>
      </c>
      <c r="G2" s="48">
        <v>40</v>
      </c>
      <c r="H2">
        <v>30</v>
      </c>
      <c r="I2">
        <v>20</v>
      </c>
      <c r="J2">
        <v>10</v>
      </c>
    </row>
    <row r="3" spans="1:10">
      <c r="A3" t="s">
        <v>206</v>
      </c>
      <c r="B3" t="s">
        <v>205</v>
      </c>
      <c r="C3" t="s">
        <v>205</v>
      </c>
      <c r="D3" s="48" t="s">
        <v>177</v>
      </c>
      <c r="E3" s="48" t="s">
        <v>113</v>
      </c>
      <c r="F3">
        <f>F2+1</f>
        <v>2</v>
      </c>
      <c r="G3" s="49">
        <v>41.983596931572528</v>
      </c>
      <c r="H3" s="49">
        <v>18.208510868407991</v>
      </c>
      <c r="I3" s="49">
        <v>59.902477148212029</v>
      </c>
      <c r="J3" s="49">
        <v>48.641848883176394</v>
      </c>
    </row>
    <row r="4" spans="1:10">
      <c r="A4" t="s">
        <v>207</v>
      </c>
      <c r="B4" t="s">
        <v>205</v>
      </c>
      <c r="C4" t="s">
        <v>205</v>
      </c>
      <c r="D4" s="48" t="s">
        <v>177</v>
      </c>
      <c r="E4" s="48" t="s">
        <v>113</v>
      </c>
      <c r="F4">
        <f t="shared" ref="F4:F21" si="0">F3+1</f>
        <v>3</v>
      </c>
      <c r="G4" s="49">
        <v>24.093908067813075</v>
      </c>
      <c r="H4" s="49">
        <v>41.724611371571918</v>
      </c>
      <c r="I4" s="49">
        <v>52.246793235893861</v>
      </c>
      <c r="J4" s="49">
        <v>36.446528923171343</v>
      </c>
    </row>
    <row r="5" spans="1:10">
      <c r="A5" t="s">
        <v>208</v>
      </c>
      <c r="B5" t="s">
        <v>205</v>
      </c>
      <c r="C5" t="s">
        <v>205</v>
      </c>
      <c r="D5" s="48" t="s">
        <v>177</v>
      </c>
      <c r="E5" s="48" t="s">
        <v>113</v>
      </c>
      <c r="F5">
        <f t="shared" si="0"/>
        <v>4</v>
      </c>
      <c r="G5" s="49">
        <v>56.286861737582022</v>
      </c>
      <c r="H5" s="49">
        <v>57.922320619977128</v>
      </c>
      <c r="I5" s="49">
        <v>28.893390957947659</v>
      </c>
      <c r="J5" s="49">
        <v>59.955917761578533</v>
      </c>
    </row>
    <row r="6" spans="1:10">
      <c r="A6" t="s">
        <v>209</v>
      </c>
      <c r="B6" t="s">
        <v>210</v>
      </c>
      <c r="C6" t="s">
        <v>210</v>
      </c>
      <c r="D6" s="48" t="s">
        <v>177</v>
      </c>
      <c r="E6" s="48" t="s">
        <v>117</v>
      </c>
      <c r="F6">
        <f t="shared" si="0"/>
        <v>5</v>
      </c>
      <c r="G6" s="49">
        <v>39.541933074183362</v>
      </c>
      <c r="H6" s="49">
        <v>10.538680460644755</v>
      </c>
      <c r="I6" s="49">
        <v>47.205664891354282</v>
      </c>
      <c r="J6" s="49">
        <v>15.904098435772241</v>
      </c>
    </row>
    <row r="7" spans="1:10">
      <c r="A7" t="s">
        <v>211</v>
      </c>
      <c r="B7" t="s">
        <v>210</v>
      </c>
      <c r="C7" t="s">
        <v>210</v>
      </c>
      <c r="D7" s="48" t="s">
        <v>177</v>
      </c>
      <c r="E7" s="48" t="s">
        <v>117</v>
      </c>
      <c r="F7">
        <f t="shared" si="0"/>
        <v>6</v>
      </c>
      <c r="G7" s="49">
        <v>50.962480478854076</v>
      </c>
      <c r="H7" s="49">
        <v>35.534736482227764</v>
      </c>
      <c r="I7" s="49">
        <v>44.377167276566674</v>
      </c>
      <c r="J7" s="49">
        <v>45.33610944390648</v>
      </c>
    </row>
    <row r="8" spans="1:10">
      <c r="A8" t="s">
        <v>212</v>
      </c>
      <c r="B8" t="s">
        <v>210</v>
      </c>
      <c r="C8" t="s">
        <v>210</v>
      </c>
      <c r="D8" s="48" t="s">
        <v>177</v>
      </c>
      <c r="E8" s="48" t="s">
        <v>117</v>
      </c>
      <c r="F8">
        <f t="shared" si="0"/>
        <v>7</v>
      </c>
      <c r="G8" s="49">
        <v>13.59362562829304</v>
      </c>
      <c r="H8" s="49">
        <v>48.843525059273794</v>
      </c>
      <c r="I8" s="49">
        <v>10.306103796306104</v>
      </c>
      <c r="J8" s="49">
        <v>39.165689992444271</v>
      </c>
    </row>
    <row r="9" spans="1:10">
      <c r="A9" t="s">
        <v>213</v>
      </c>
      <c r="B9" t="s">
        <v>210</v>
      </c>
      <c r="C9" t="s">
        <v>210</v>
      </c>
      <c r="D9" s="48" t="s">
        <v>177</v>
      </c>
      <c r="E9" s="48" t="s">
        <v>117</v>
      </c>
      <c r="F9">
        <f t="shared" si="0"/>
        <v>8</v>
      </c>
      <c r="G9" s="49">
        <v>57.119391891581209</v>
      </c>
      <c r="H9" s="49">
        <v>25.804482503112453</v>
      </c>
      <c r="I9" s="49">
        <v>14.580305294764578</v>
      </c>
      <c r="J9" s="49">
        <v>16.823468703610544</v>
      </c>
    </row>
    <row r="10" spans="1:10">
      <c r="A10" t="s">
        <v>214</v>
      </c>
      <c r="B10" t="s">
        <v>215</v>
      </c>
      <c r="C10" t="s">
        <v>215</v>
      </c>
      <c r="D10" s="48" t="s">
        <v>177</v>
      </c>
      <c r="E10" s="48" t="s">
        <v>117</v>
      </c>
      <c r="F10">
        <f t="shared" si="0"/>
        <v>9</v>
      </c>
      <c r="G10" s="49">
        <v>57.682800302439162</v>
      </c>
      <c r="H10" s="49">
        <v>52.711989071459442</v>
      </c>
      <c r="I10" s="49">
        <v>53.637379158795184</v>
      </c>
      <c r="J10" s="49">
        <v>23.185164069139013</v>
      </c>
    </row>
    <row r="11" spans="1:10">
      <c r="A11" t="s">
        <v>216</v>
      </c>
      <c r="B11" t="s">
        <v>215</v>
      </c>
      <c r="C11" t="s">
        <v>215</v>
      </c>
      <c r="D11" s="48" t="s">
        <v>177</v>
      </c>
      <c r="E11" s="48" t="s">
        <v>117</v>
      </c>
      <c r="F11">
        <f t="shared" si="0"/>
        <v>10</v>
      </c>
      <c r="G11" s="49">
        <v>47.121038142151626</v>
      </c>
      <c r="H11" s="49">
        <v>41.949405375427489</v>
      </c>
      <c r="I11" s="49">
        <v>37.465116026593527</v>
      </c>
      <c r="J11" s="49">
        <v>22.388902168030825</v>
      </c>
    </row>
    <row r="12" spans="1:10">
      <c r="A12" t="s">
        <v>217</v>
      </c>
      <c r="B12" t="s">
        <v>215</v>
      </c>
      <c r="C12" t="s">
        <v>215</v>
      </c>
      <c r="D12" s="48" t="s">
        <v>177</v>
      </c>
      <c r="E12" s="48" t="s">
        <v>117</v>
      </c>
      <c r="F12">
        <f t="shared" si="0"/>
        <v>11</v>
      </c>
      <c r="G12" s="49">
        <v>59.369878224158242</v>
      </c>
      <c r="H12" s="49">
        <v>50.09970060415943</v>
      </c>
      <c r="I12" s="49">
        <v>23.627326079952532</v>
      </c>
      <c r="J12" s="49">
        <v>28.267776241498382</v>
      </c>
    </row>
    <row r="13" spans="1:10">
      <c r="A13" t="s">
        <v>218</v>
      </c>
      <c r="B13" t="s">
        <v>215</v>
      </c>
      <c r="C13" t="s">
        <v>215</v>
      </c>
      <c r="D13" s="48" t="s">
        <v>177</v>
      </c>
      <c r="E13" s="48" t="s">
        <v>117</v>
      </c>
      <c r="F13">
        <f t="shared" si="0"/>
        <v>12</v>
      </c>
      <c r="G13" s="49">
        <v>13.185083629535967</v>
      </c>
      <c r="H13" s="49">
        <v>27.243080226534602</v>
      </c>
      <c r="I13" s="49">
        <v>25.161760395031621</v>
      </c>
      <c r="J13" s="49">
        <v>18.520224085248636</v>
      </c>
    </row>
    <row r="14" spans="1:10">
      <c r="A14" t="s">
        <v>219</v>
      </c>
      <c r="B14" t="s">
        <v>220</v>
      </c>
      <c r="C14" t="s">
        <v>220</v>
      </c>
      <c r="D14" s="48" t="s">
        <v>177</v>
      </c>
      <c r="E14" s="48" t="s">
        <v>117</v>
      </c>
      <c r="F14">
        <f t="shared" si="0"/>
        <v>13</v>
      </c>
      <c r="G14" s="49">
        <v>54.552183828510806</v>
      </c>
      <c r="H14" s="49">
        <v>51.257796363432107</v>
      </c>
      <c r="I14" s="49">
        <v>10.259009468999722</v>
      </c>
      <c r="J14" s="49">
        <v>21.438088649006787</v>
      </c>
    </row>
    <row r="15" spans="1:10">
      <c r="A15" t="s">
        <v>221</v>
      </c>
      <c r="B15" t="s">
        <v>220</v>
      </c>
      <c r="C15" t="s">
        <v>220</v>
      </c>
      <c r="D15" s="48" t="s">
        <v>222</v>
      </c>
      <c r="E15" s="48" t="s">
        <v>117</v>
      </c>
      <c r="F15">
        <f t="shared" si="0"/>
        <v>14</v>
      </c>
      <c r="G15" s="49">
        <v>55.158277416127682</v>
      </c>
      <c r="H15" s="49">
        <v>42.843092116355471</v>
      </c>
      <c r="I15" s="49">
        <v>15.971572227610565</v>
      </c>
      <c r="J15" s="49">
        <v>10.609314052467937</v>
      </c>
    </row>
    <row r="16" spans="1:10">
      <c r="A16" t="s">
        <v>223</v>
      </c>
      <c r="B16" t="s">
        <v>220</v>
      </c>
      <c r="C16" t="s">
        <v>220</v>
      </c>
      <c r="D16" s="48" t="s">
        <v>222</v>
      </c>
      <c r="E16" s="48" t="s">
        <v>117</v>
      </c>
      <c r="F16">
        <f t="shared" si="0"/>
        <v>15</v>
      </c>
      <c r="G16" s="49">
        <v>33.764625983032424</v>
      </c>
      <c r="H16" s="49">
        <v>59.994152841713067</v>
      </c>
      <c r="I16" s="49">
        <v>42.241108659295001</v>
      </c>
      <c r="J16" s="49">
        <v>24.730864774694275</v>
      </c>
    </row>
    <row r="17" spans="1:10">
      <c r="A17" t="s">
        <v>224</v>
      </c>
      <c r="B17" t="s">
        <v>220</v>
      </c>
      <c r="C17" t="s">
        <v>220</v>
      </c>
      <c r="D17" s="48" t="s">
        <v>225</v>
      </c>
      <c r="E17" s="48" t="s">
        <v>117</v>
      </c>
      <c r="F17">
        <f t="shared" si="0"/>
        <v>16</v>
      </c>
      <c r="G17" s="49">
        <v>45.390440446474493</v>
      </c>
      <c r="H17" s="49">
        <v>22.774881260039734</v>
      </c>
      <c r="I17" s="49">
        <v>14.966924709755261</v>
      </c>
      <c r="J17" s="49">
        <v>34.973198579785219</v>
      </c>
    </row>
    <row r="18" spans="1:10">
      <c r="A18" t="s">
        <v>226</v>
      </c>
      <c r="B18" t="s">
        <v>227</v>
      </c>
      <c r="C18" t="s">
        <v>227</v>
      </c>
      <c r="D18" s="48" t="s">
        <v>225</v>
      </c>
      <c r="E18" s="48" t="s">
        <v>117</v>
      </c>
      <c r="F18">
        <f t="shared" si="0"/>
        <v>17</v>
      </c>
      <c r="G18" s="49">
        <v>51.292390759568555</v>
      </c>
      <c r="H18" s="49">
        <v>15.179380506104422</v>
      </c>
      <c r="I18" s="49">
        <v>22.474134243326993</v>
      </c>
      <c r="J18" s="49">
        <v>31.577863857190671</v>
      </c>
    </row>
    <row r="19" spans="1:10">
      <c r="A19" t="s">
        <v>228</v>
      </c>
      <c r="B19" t="s">
        <v>227</v>
      </c>
      <c r="C19" t="s">
        <v>227</v>
      </c>
      <c r="D19" s="48" t="s">
        <v>225</v>
      </c>
      <c r="E19" s="48" t="s">
        <v>117</v>
      </c>
      <c r="F19">
        <f t="shared" si="0"/>
        <v>18</v>
      </c>
      <c r="G19" s="49">
        <v>34.747741333212161</v>
      </c>
      <c r="H19" s="49">
        <v>47.060063651801919</v>
      </c>
      <c r="I19" s="49">
        <v>24.841254302682323</v>
      </c>
      <c r="J19" s="49">
        <v>56.202770576008668</v>
      </c>
    </row>
    <row r="20" spans="1:10">
      <c r="A20" t="s">
        <v>229</v>
      </c>
      <c r="B20" t="s">
        <v>230</v>
      </c>
      <c r="C20" t="s">
        <v>230</v>
      </c>
      <c r="D20" s="48" t="s">
        <v>225</v>
      </c>
      <c r="E20" s="48" t="s">
        <v>117</v>
      </c>
      <c r="F20">
        <f t="shared" si="0"/>
        <v>19</v>
      </c>
      <c r="G20" s="49">
        <v>56.813719995173699</v>
      </c>
      <c r="H20" s="49">
        <v>38.532294755671607</v>
      </c>
      <c r="I20" s="49">
        <v>37.739415088695829</v>
      </c>
      <c r="J20" s="49">
        <v>23.540063103394225</v>
      </c>
    </row>
    <row r="21" spans="1:10">
      <c r="A21" t="s">
        <v>231</v>
      </c>
      <c r="B21" t="s">
        <v>232</v>
      </c>
      <c r="C21" t="s">
        <v>232</v>
      </c>
      <c r="D21" s="48" t="s">
        <v>225</v>
      </c>
      <c r="E21" s="48" t="s">
        <v>117</v>
      </c>
      <c r="F21">
        <f t="shared" si="0"/>
        <v>20</v>
      </c>
      <c r="G21" s="49">
        <v>31.311938635433201</v>
      </c>
      <c r="H21" s="49">
        <v>19.894146237135942</v>
      </c>
      <c r="I21" s="49">
        <v>11.087505056944309</v>
      </c>
      <c r="J21" s="49">
        <v>32.747477260298929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topLeftCell="A2" zoomScale="161" workbookViewId="0">
      <selection activeCell="C7" sqref="C7"/>
    </sheetView>
  </sheetViews>
  <sheetFormatPr defaultColWidth="14.42578125" defaultRowHeight="15" customHeight="1"/>
  <cols>
    <col min="1" max="1" width="55" customWidth="1"/>
    <col min="2" max="2" width="32.85546875" customWidth="1"/>
    <col min="3" max="26" width="8.7109375" customWidth="1"/>
  </cols>
  <sheetData>
    <row r="1" spans="1:2" ht="27.75" customHeight="1">
      <c r="A1" s="68" t="s">
        <v>233</v>
      </c>
      <c r="B1" s="69"/>
    </row>
    <row r="2" spans="1:2" ht="21.75" customHeight="1">
      <c r="A2" s="70" t="s">
        <v>234</v>
      </c>
      <c r="B2" s="69"/>
    </row>
    <row r="3" spans="1:2" ht="15.75" customHeight="1">
      <c r="A3" s="71" t="s">
        <v>235</v>
      </c>
      <c r="B3" s="69"/>
    </row>
    <row r="5" spans="1:2" ht="19.5" customHeight="1">
      <c r="A5" s="73" t="s">
        <v>236</v>
      </c>
      <c r="B5" s="69"/>
    </row>
    <row r="6" spans="1:2" ht="18" customHeight="1">
      <c r="A6" s="4" t="s">
        <v>237</v>
      </c>
      <c r="B6" s="5"/>
    </row>
    <row r="7" spans="1:2" ht="18" customHeight="1">
      <c r="A7" s="4" t="s">
        <v>238</v>
      </c>
      <c r="B7" s="5"/>
    </row>
    <row r="8" spans="1:2" ht="18" customHeight="1">
      <c r="A8" s="4" t="s">
        <v>239</v>
      </c>
      <c r="B8" s="44"/>
    </row>
    <row r="9" spans="1:2" ht="18" customHeight="1">
      <c r="A9" s="4" t="s">
        <v>240</v>
      </c>
      <c r="B9" s="44"/>
    </row>
    <row r="10" spans="1:2" ht="18" customHeight="1">
      <c r="A10" s="4" t="s">
        <v>241</v>
      </c>
      <c r="B10" s="5"/>
    </row>
    <row r="11" spans="1:2" ht="18" customHeight="1">
      <c r="A11" s="4" t="s">
        <v>242</v>
      </c>
      <c r="B11" s="5"/>
    </row>
    <row r="12" spans="1:2" ht="19.5" customHeight="1">
      <c r="A12" s="73" t="s">
        <v>243</v>
      </c>
      <c r="B12" s="69"/>
    </row>
    <row r="13" spans="1:2" ht="18" customHeight="1">
      <c r="A13" s="4" t="s">
        <v>244</v>
      </c>
      <c r="B13" s="5"/>
    </row>
    <row r="14" spans="1:2" ht="18" customHeight="1">
      <c r="A14" s="4" t="s">
        <v>245</v>
      </c>
      <c r="B14" s="5" t="s">
        <v>246</v>
      </c>
    </row>
    <row r="15" spans="1:2" ht="18" customHeight="1">
      <c r="A15" s="4" t="s">
        <v>247</v>
      </c>
      <c r="B15" s="5" t="s">
        <v>248</v>
      </c>
    </row>
    <row r="16" spans="1:2" ht="19.5" customHeight="1">
      <c r="A16" s="73" t="s">
        <v>249</v>
      </c>
      <c r="B16" s="69"/>
    </row>
    <row r="17" spans="1:2" ht="51.75" customHeight="1">
      <c r="A17" s="74" t="s">
        <v>250</v>
      </c>
      <c r="B17" s="69"/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6:B16"/>
    <mergeCell ref="A17:B17"/>
    <mergeCell ref="A1:B1"/>
    <mergeCell ref="A2:B2"/>
    <mergeCell ref="A3:B3"/>
    <mergeCell ref="A5:B5"/>
    <mergeCell ref="A12:B12"/>
  </mergeCell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3C95F4-817F-427D-99A1-AC98DFBA8F7F}">
          <x14:formula1>
            <xm:f>'Institution Registry'!$B$2:$B$6</xm:f>
          </x14:formula1>
          <xm:sqref>B8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58.85546875" customWidth="1"/>
    <col min="2" max="7" width="22" customWidth="1"/>
    <col min="8" max="26" width="8.7109375" customWidth="1"/>
  </cols>
  <sheetData>
    <row r="1" spans="1:7" ht="27.75" customHeight="1">
      <c r="A1" s="68" t="s">
        <v>251</v>
      </c>
      <c r="B1" s="69"/>
      <c r="C1" s="69"/>
      <c r="D1" s="69"/>
      <c r="E1" s="69"/>
      <c r="F1" s="69"/>
      <c r="G1" s="69"/>
    </row>
    <row r="2" spans="1:7" ht="21.75" customHeight="1">
      <c r="A2" s="62" t="s">
        <v>252</v>
      </c>
      <c r="B2" s="72"/>
      <c r="C2" s="72"/>
      <c r="D2" s="72"/>
      <c r="E2" s="72"/>
      <c r="F2" s="72"/>
      <c r="G2" s="75"/>
    </row>
    <row r="3" spans="1:7" ht="15.75" customHeight="1">
      <c r="A3" s="71" t="s">
        <v>253</v>
      </c>
      <c r="B3" s="69"/>
      <c r="C3" s="69"/>
      <c r="D3" s="69"/>
      <c r="E3" s="69"/>
      <c r="F3" s="69"/>
      <c r="G3" s="69"/>
    </row>
    <row r="6" spans="1:7" ht="15.75" customHeight="1">
      <c r="A6" s="9" t="s">
        <v>254</v>
      </c>
      <c r="B6" s="53">
        <v>2025</v>
      </c>
      <c r="C6" s="10" t="s">
        <v>255</v>
      </c>
      <c r="D6" s="53">
        <f>B6+1</f>
        <v>2026</v>
      </c>
    </row>
    <row r="7" spans="1:7" ht="15.75" customHeight="1">
      <c r="A7" s="9" t="s">
        <v>256</v>
      </c>
      <c r="B7" s="9"/>
      <c r="C7" s="10"/>
      <c r="D7" s="10"/>
    </row>
    <row r="8" spans="1:7" ht="15.75" customHeight="1">
      <c r="A8" s="9" t="s">
        <v>257</v>
      </c>
      <c r="B8" s="10"/>
      <c r="C8" s="10"/>
      <c r="D8" s="10"/>
    </row>
    <row r="9" spans="1:7" ht="15.75" customHeight="1">
      <c r="A9" s="9" t="s">
        <v>258</v>
      </c>
      <c r="B9" s="10"/>
      <c r="C9" s="10" t="s">
        <v>259</v>
      </c>
      <c r="D9" s="10"/>
    </row>
    <row r="10" spans="1:7" ht="15.75" customHeight="1">
      <c r="A10" s="9" t="s">
        <v>260</v>
      </c>
      <c r="B10" s="10"/>
      <c r="C10" s="10" t="s">
        <v>261</v>
      </c>
      <c r="D10" s="10"/>
    </row>
    <row r="11" spans="1:7" ht="15.75" customHeight="1">
      <c r="A11" s="9" t="s">
        <v>262</v>
      </c>
      <c r="B11" s="10"/>
      <c r="C11" s="10" t="s">
        <v>263</v>
      </c>
      <c r="D11" s="10"/>
    </row>
    <row r="12" spans="1:7" ht="18" customHeight="1">
      <c r="A12" s="61" t="s">
        <v>264</v>
      </c>
      <c r="B12" s="72"/>
      <c r="C12" s="72"/>
      <c r="D12" s="72"/>
      <c r="E12" s="72"/>
      <c r="F12" s="72"/>
      <c r="G12" s="72"/>
    </row>
    <row r="13" spans="1:7" ht="15.75" customHeight="1">
      <c r="A13" s="7" t="s">
        <v>265</v>
      </c>
      <c r="B13" s="7" t="s">
        <v>266</v>
      </c>
      <c r="C13" s="7" t="s">
        <v>267</v>
      </c>
      <c r="D13" s="3"/>
      <c r="E13" s="3"/>
      <c r="F13" s="3"/>
      <c r="G13" s="3"/>
    </row>
    <row r="14" spans="1:7" ht="18" customHeight="1">
      <c r="A14" s="61" t="s">
        <v>268</v>
      </c>
      <c r="B14" s="72"/>
      <c r="C14" s="72"/>
      <c r="D14" s="72"/>
      <c r="E14" s="72"/>
      <c r="F14" s="72"/>
      <c r="G14" s="72"/>
    </row>
    <row r="15" spans="1:7" ht="15.75" customHeight="1">
      <c r="A15" s="6" t="s">
        <v>269</v>
      </c>
      <c r="B15" s="11"/>
      <c r="C15" s="6" t="s">
        <v>270</v>
      </c>
      <c r="D15" s="11"/>
      <c r="E15" s="6" t="s">
        <v>271</v>
      </c>
      <c r="F15" s="11"/>
      <c r="G15" s="11"/>
    </row>
    <row r="17" spans="1:7" ht="18" customHeight="1">
      <c r="A17" s="60" t="s">
        <v>272</v>
      </c>
      <c r="B17" s="72"/>
      <c r="C17" s="72"/>
      <c r="D17" s="72"/>
      <c r="E17" s="72"/>
      <c r="F17" s="72"/>
      <c r="G17" s="72"/>
    </row>
    <row r="18" spans="1:7" ht="19.5" customHeight="1">
      <c r="A18" s="12" t="s">
        <v>273</v>
      </c>
      <c r="B18" s="12" t="s">
        <v>96</v>
      </c>
      <c r="C18" s="12" t="s">
        <v>95</v>
      </c>
      <c r="D18" s="12" t="s">
        <v>274</v>
      </c>
      <c r="E18" s="13"/>
      <c r="F18" s="13"/>
      <c r="G18" s="13"/>
    </row>
    <row r="19" spans="1:7" ht="15.75" customHeight="1">
      <c r="A19" s="7"/>
      <c r="B19" s="3"/>
      <c r="C19" s="3"/>
      <c r="D19" s="3"/>
      <c r="E19" s="3"/>
      <c r="F19" s="3"/>
    </row>
    <row r="20" spans="1:7" ht="15.75" customHeight="1">
      <c r="A20" s="7"/>
      <c r="B20" s="3"/>
      <c r="C20" s="3"/>
      <c r="D20" s="3"/>
      <c r="E20" s="3"/>
      <c r="F20" s="3"/>
    </row>
    <row r="21" spans="1:7" ht="15.75" customHeight="1">
      <c r="A21" s="7"/>
      <c r="B21" s="3"/>
      <c r="C21" s="3"/>
      <c r="D21" s="3"/>
      <c r="E21" s="3"/>
      <c r="F21" s="3"/>
    </row>
    <row r="22" spans="1:7" ht="15.75" customHeight="1">
      <c r="A22" s="7"/>
      <c r="B22" s="3"/>
      <c r="C22" s="3"/>
      <c r="D22" s="3"/>
      <c r="E22" s="3"/>
      <c r="F22" s="3"/>
    </row>
    <row r="23" spans="1:7" ht="15.75" customHeight="1">
      <c r="A23" s="7"/>
      <c r="B23" s="3"/>
      <c r="C23" s="3"/>
      <c r="D23" s="3"/>
      <c r="E23" s="3"/>
      <c r="F23" s="3"/>
    </row>
    <row r="24" spans="1:7" ht="15.75" customHeight="1">
      <c r="A24" s="7"/>
      <c r="B24" s="3"/>
      <c r="C24" s="3"/>
      <c r="D24" s="3"/>
      <c r="E24" s="3"/>
      <c r="F24" s="3"/>
    </row>
    <row r="25" spans="1:7" ht="18" customHeight="1">
      <c r="A25" s="61" t="s">
        <v>275</v>
      </c>
      <c r="B25" s="72"/>
      <c r="C25" s="72"/>
      <c r="D25" s="72"/>
      <c r="E25" s="72"/>
      <c r="F25" s="72"/>
      <c r="G25" s="72"/>
    </row>
    <row r="26" spans="1:7" ht="18" customHeight="1">
      <c r="A26" s="6" t="s">
        <v>276</v>
      </c>
      <c r="B26" s="3" t="s">
        <v>277</v>
      </c>
      <c r="C26" s="3" t="s">
        <v>278</v>
      </c>
      <c r="D26" s="11"/>
      <c r="E26" s="11"/>
      <c r="F26" s="11"/>
      <c r="G26" s="14" t="s">
        <v>279</v>
      </c>
    </row>
    <row r="27" spans="1:7" ht="18" customHeight="1">
      <c r="A27" s="6" t="s">
        <v>280</v>
      </c>
      <c r="B27" s="3" t="s">
        <v>277</v>
      </c>
      <c r="C27" s="3" t="s">
        <v>278</v>
      </c>
      <c r="D27" s="11"/>
      <c r="E27" s="11"/>
      <c r="F27" s="11"/>
      <c r="G27" s="15" t="s">
        <v>40</v>
      </c>
    </row>
    <row r="28" spans="1:7" ht="18" customHeight="1">
      <c r="A28" s="6" t="s">
        <v>281</v>
      </c>
      <c r="B28" s="3" t="s">
        <v>277</v>
      </c>
      <c r="C28" s="3" t="s">
        <v>278</v>
      </c>
      <c r="D28" s="11"/>
      <c r="E28" s="11"/>
      <c r="F28" s="11"/>
      <c r="G28" s="15" t="s">
        <v>40</v>
      </c>
    </row>
    <row r="29" spans="1:7" ht="18" customHeight="1">
      <c r="A29" s="6" t="s">
        <v>282</v>
      </c>
      <c r="B29" s="3" t="s">
        <v>277</v>
      </c>
      <c r="C29" s="3" t="s">
        <v>278</v>
      </c>
      <c r="D29" s="11"/>
      <c r="E29" s="11"/>
      <c r="F29" s="11"/>
      <c r="G29" s="16" t="s">
        <v>283</v>
      </c>
    </row>
    <row r="30" spans="1:7" ht="18" customHeight="1">
      <c r="A30" s="6" t="s">
        <v>284</v>
      </c>
      <c r="B30" s="3" t="s">
        <v>277</v>
      </c>
      <c r="C30" s="3" t="s">
        <v>278</v>
      </c>
      <c r="D30" s="11"/>
      <c r="E30" s="11"/>
      <c r="F30" s="11"/>
      <c r="G30" s="16" t="s">
        <v>283</v>
      </c>
    </row>
    <row r="31" spans="1:7" ht="18" customHeight="1">
      <c r="A31" s="6" t="s">
        <v>285</v>
      </c>
      <c r="B31" s="3" t="s">
        <v>277</v>
      </c>
      <c r="C31" s="3" t="s">
        <v>278</v>
      </c>
      <c r="D31" s="11"/>
      <c r="E31" s="11"/>
      <c r="F31" s="11"/>
      <c r="G31" s="17" t="s">
        <v>52</v>
      </c>
    </row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G17"/>
    <mergeCell ref="A25:G25"/>
    <mergeCell ref="A1:G1"/>
    <mergeCell ref="A2:G2"/>
    <mergeCell ref="A3:G3"/>
    <mergeCell ref="A12:G12"/>
    <mergeCell ref="A14:G14"/>
  </mergeCells>
  <dataValidations count="1">
    <dataValidation type="list" allowBlank="1" showInputMessage="1" showErrorMessage="1" sqref="B6" xr:uid="{16880F1D-FB3C-4D31-B5E7-588756497BCA}">
      <formula1>"2022,2023,2024,2025"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3A4D33-8355-4F8E-8C18-4D02948F8862}">
          <x14:formula1>
            <xm:f>'Institution Registry'!$B$2:$B$13</xm:f>
          </x14:formula1>
          <xm:sqref>B7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showGridLines="0" tabSelected="1" zoomScale="120" zoomScaleNormal="120" workbookViewId="0">
      <pane ySplit="8" topLeftCell="A9" activePane="bottomLeft" state="frozen"/>
      <selection pane="bottomLeft" activeCell="B8" sqref="B8"/>
    </sheetView>
  </sheetViews>
  <sheetFormatPr defaultColWidth="14.42578125" defaultRowHeight="15" customHeight="1"/>
  <cols>
    <col min="1" max="1" width="22" customWidth="1"/>
    <col min="2" max="2" width="24.5703125" bestFit="1" customWidth="1"/>
    <col min="3" max="3" width="22" customWidth="1"/>
    <col min="4" max="24" width="10" customWidth="1"/>
    <col min="25" max="26" width="8.7109375" customWidth="1"/>
  </cols>
  <sheetData>
    <row r="1" spans="1:24" ht="27.75" customHeight="1">
      <c r="A1" s="68" t="s">
        <v>286</v>
      </c>
      <c r="B1" s="69"/>
      <c r="C1" s="69"/>
      <c r="D1" s="69"/>
      <c r="E1" s="69"/>
      <c r="F1" s="69"/>
      <c r="G1" s="69"/>
      <c r="H1" s="69"/>
      <c r="I1" s="69"/>
    </row>
    <row r="2" spans="1:24" ht="21.75" customHeight="1">
      <c r="A2" s="62" t="s">
        <v>287</v>
      </c>
      <c r="B2" s="72"/>
      <c r="C2" s="72"/>
      <c r="D2" s="72"/>
      <c r="E2" s="72"/>
      <c r="F2" s="72"/>
      <c r="G2" s="72"/>
      <c r="H2" s="72"/>
      <c r="I2" s="75"/>
    </row>
    <row r="3" spans="1:24" ht="15.75" customHeight="1">
      <c r="A3" s="71" t="s">
        <v>288</v>
      </c>
      <c r="B3" s="69"/>
      <c r="C3" s="69"/>
      <c r="D3" s="69"/>
      <c r="E3" s="69"/>
      <c r="F3" s="69"/>
      <c r="G3" s="69"/>
      <c r="H3" s="69"/>
      <c r="I3" s="69"/>
    </row>
    <row r="4" spans="1:24" ht="15.75" customHeight="1">
      <c r="A4" s="76" t="s">
        <v>289</v>
      </c>
      <c r="B4" s="69"/>
      <c r="C4" s="69"/>
      <c r="D4" s="69"/>
      <c r="E4" s="69"/>
      <c r="F4" s="69"/>
      <c r="G4" s="69"/>
      <c r="H4" s="69"/>
      <c r="I4" s="69"/>
    </row>
    <row r="5" spans="1:24" ht="27.75" customHeight="1">
      <c r="A5" s="18" t="s">
        <v>290</v>
      </c>
      <c r="B5" s="19" t="s">
        <v>291</v>
      </c>
      <c r="C5" s="20" t="s">
        <v>292</v>
      </c>
      <c r="D5" s="21" t="s">
        <v>293</v>
      </c>
      <c r="E5" s="22" t="s">
        <v>294</v>
      </c>
      <c r="F5" s="23" t="s">
        <v>295</v>
      </c>
      <c r="G5" s="24" t="s">
        <v>296</v>
      </c>
    </row>
    <row r="6" spans="1:24" ht="36" customHeight="1">
      <c r="A6" s="25" t="s">
        <v>297</v>
      </c>
      <c r="B6" s="26" t="s">
        <v>298</v>
      </c>
      <c r="C6" s="27" t="s">
        <v>299</v>
      </c>
      <c r="D6" s="25" t="s">
        <v>300</v>
      </c>
    </row>
    <row r="7" spans="1:24" ht="60">
      <c r="A7" s="54" t="s">
        <v>196</v>
      </c>
      <c r="B7" s="54" t="s">
        <v>197</v>
      </c>
      <c r="C7" s="54" t="s">
        <v>195</v>
      </c>
      <c r="D7" s="54" t="s">
        <v>301</v>
      </c>
      <c r="E7" s="54" t="s">
        <v>302</v>
      </c>
      <c r="F7" s="28" t="s">
        <v>303</v>
      </c>
      <c r="G7" s="28" t="s">
        <v>304</v>
      </c>
      <c r="H7" s="28" t="s">
        <v>305</v>
      </c>
      <c r="I7" s="28" t="s">
        <v>306</v>
      </c>
      <c r="J7" s="28" t="s">
        <v>307</v>
      </c>
      <c r="K7" s="28" t="s">
        <v>308</v>
      </c>
      <c r="L7" s="28" t="s">
        <v>309</v>
      </c>
      <c r="M7" s="28" t="s">
        <v>310</v>
      </c>
      <c r="N7" s="28" t="s">
        <v>311</v>
      </c>
      <c r="O7" s="28" t="s">
        <v>312</v>
      </c>
      <c r="P7" s="28" t="s">
        <v>313</v>
      </c>
      <c r="Q7" s="28" t="s">
        <v>314</v>
      </c>
      <c r="R7" s="28" t="s">
        <v>315</v>
      </c>
      <c r="S7" s="28" t="s">
        <v>316</v>
      </c>
      <c r="T7" s="28" t="s">
        <v>317</v>
      </c>
      <c r="U7" s="28" t="s">
        <v>318</v>
      </c>
      <c r="V7" s="28" t="s">
        <v>319</v>
      </c>
      <c r="W7" s="28" t="s">
        <v>320</v>
      </c>
      <c r="X7" s="56" t="s">
        <v>321</v>
      </c>
    </row>
    <row r="8" spans="1:24" ht="15.75" customHeight="1">
      <c r="A8" s="29" t="str">
        <f>VLOOKUP(Enrolment!C8,'Course Registry'!$A$2:$F$21,2,FALSE)</f>
        <v>Certificate</v>
      </c>
      <c r="B8" s="29" t="str">
        <f>VLOOKUP(Enrolment!C8,'Course Registry'!$A$2:$F$21,2,FALSE)</f>
        <v>Certificate</v>
      </c>
      <c r="C8" s="7" t="s">
        <v>194</v>
      </c>
      <c r="D8" s="7" t="str">
        <f>VLOOKUP(Enrolment!C8,'Course Registry'!$A$2:$F$21,4,FALSE)</f>
        <v>No</v>
      </c>
      <c r="E8" s="7" t="str">
        <f>VLOOKUP(Enrolment!C8,'Course Registry'!$A$2:$F$21,5,FALSE)</f>
        <v>Y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</row>
    <row r="9" spans="1:24" ht="15.75" customHeight="1">
      <c r="A9" s="29" t="str">
        <f>VLOOKUP(Enrolment!C9,'Course Registry'!$A$2:$F$21,2,FALSE)</f>
        <v>Certificate</v>
      </c>
      <c r="B9" s="29" t="str">
        <f>VLOOKUP(Enrolment!C9,'Course Registry'!$A$2:$F$21,2,FALSE)</f>
        <v>Certificate</v>
      </c>
      <c r="C9" s="7" t="s">
        <v>206</v>
      </c>
      <c r="D9" s="7" t="str">
        <f>VLOOKUP(Enrolment!C9,'Course Registry'!$A$2:$F$21,4,FALSE)</f>
        <v>No</v>
      </c>
      <c r="E9" s="7" t="str">
        <f>VLOOKUP(Enrolment!C9,'Course Registry'!$A$2:$F$21,5,FALSE)</f>
        <v>Y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</row>
    <row r="10" spans="1:24" ht="15.75" customHeight="1">
      <c r="A10" s="29" t="str">
        <f>VLOOKUP(Enrolment!C10,'Course Registry'!$A$2:$F$21,2,FALSE)</f>
        <v>Certificate</v>
      </c>
      <c r="B10" s="29" t="str">
        <f>VLOOKUP(Enrolment!C10,'Course Registry'!$A$2:$F$21,2,FALSE)</f>
        <v>Certificate</v>
      </c>
      <c r="C10" s="7" t="s">
        <v>207</v>
      </c>
      <c r="D10" s="7" t="str">
        <f>VLOOKUP(Enrolment!C10,'Course Registry'!$A$2:$F$21,4,FALSE)</f>
        <v>No</v>
      </c>
      <c r="E10" s="7" t="str">
        <f>VLOOKUP(Enrolment!C10,'Course Registry'!$A$2:$F$21,5,FALSE)</f>
        <v>Y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</row>
    <row r="11" spans="1:24" ht="15.75" customHeight="1">
      <c r="A11" s="29" t="str">
        <f>VLOOKUP(Enrolment!C11,'Course Registry'!$A$2:$F$21,2,FALSE)</f>
        <v>Certificate</v>
      </c>
      <c r="B11" s="29" t="str">
        <f>VLOOKUP(Enrolment!C11,'Course Registry'!$A$2:$F$21,2,FALSE)</f>
        <v>Certificate</v>
      </c>
      <c r="C11" s="7" t="s">
        <v>208</v>
      </c>
      <c r="D11" s="7" t="str">
        <f>VLOOKUP(Enrolment!C11,'Course Registry'!$A$2:$F$21,4,FALSE)</f>
        <v>No</v>
      </c>
      <c r="E11" s="7" t="str">
        <f>VLOOKUP(Enrolment!C11,'Course Registry'!$A$2:$F$21,5,FALSE)</f>
        <v>Y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</row>
    <row r="12" spans="1:24" ht="15.75" customHeight="1">
      <c r="A12" s="29" t="str">
        <f>VLOOKUP(Enrolment!C12,'Course Registry'!$A$2:$F$21,2,FALSE)</f>
        <v>CAPE</v>
      </c>
      <c r="B12" s="29" t="str">
        <f>VLOOKUP(Enrolment!C12,'Course Registry'!$A$2:$F$21,2,FALSE)</f>
        <v>CAPE</v>
      </c>
      <c r="C12" s="7" t="s">
        <v>209</v>
      </c>
      <c r="D12" s="7" t="str">
        <f>VLOOKUP(Enrolment!C12,'Course Registry'!$A$2:$F$21,4,FALSE)</f>
        <v>No</v>
      </c>
      <c r="E12" s="7" t="str">
        <f>VLOOKUP(Enrolment!C12,'Course Registry'!$A$2:$F$21,5,FALSE)</f>
        <v>N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</row>
    <row r="13" spans="1:24" ht="15.75" customHeight="1">
      <c r="A13" s="29" t="str">
        <f>VLOOKUP(Enrolment!C13,'Course Registry'!$A$2:$F$21,2,FALSE)</f>
        <v>CAPE</v>
      </c>
      <c r="B13" s="29" t="str">
        <f>VLOOKUP(Enrolment!C13,'Course Registry'!$A$2:$F$21,2,FALSE)</f>
        <v>CAPE</v>
      </c>
      <c r="C13" s="7" t="s">
        <v>211</v>
      </c>
      <c r="D13" s="7" t="str">
        <f>VLOOKUP(Enrolment!C13,'Course Registry'!$A$2:$F$21,4,FALSE)</f>
        <v>No</v>
      </c>
      <c r="E13" s="7" t="str">
        <f>VLOOKUP(Enrolment!C13,'Course Registry'!$A$2:$F$21,5,FALSE)</f>
        <v>N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</row>
    <row r="14" spans="1:24" ht="15.75" customHeight="1">
      <c r="A14" s="29" t="str">
        <f>VLOOKUP(Enrolment!C14,'Course Registry'!$A$2:$F$21,2,FALSE)</f>
        <v>CAPE</v>
      </c>
      <c r="B14" s="29" t="str">
        <f>VLOOKUP(Enrolment!C14,'Course Registry'!$A$2:$F$21,2,FALSE)</f>
        <v>CAPE</v>
      </c>
      <c r="C14" s="7" t="s">
        <v>212</v>
      </c>
      <c r="D14" s="7" t="str">
        <f>VLOOKUP(Enrolment!C14,'Course Registry'!$A$2:$F$21,4,FALSE)</f>
        <v>No</v>
      </c>
      <c r="E14" s="7" t="str">
        <f>VLOOKUP(Enrolment!C14,'Course Registry'!$A$2:$F$21,5,FALSE)</f>
        <v>N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</row>
    <row r="15" spans="1:24" ht="15.75" customHeight="1">
      <c r="A15" s="29" t="str">
        <f>VLOOKUP(Enrolment!C15,'Course Registry'!$A$2:$F$21,2,FALSE)</f>
        <v>CAPE</v>
      </c>
      <c r="B15" s="29" t="str">
        <f>VLOOKUP(Enrolment!C15,'Course Registry'!$A$2:$F$21,2,FALSE)</f>
        <v>CAPE</v>
      </c>
      <c r="C15" s="7" t="s">
        <v>213</v>
      </c>
      <c r="D15" s="7" t="str">
        <f>VLOOKUP(Enrolment!C15,'Course Registry'!$A$2:$F$21,4,FALSE)</f>
        <v>No</v>
      </c>
      <c r="E15" s="7" t="str">
        <f>VLOOKUP(Enrolment!C15,'Course Registry'!$A$2:$F$21,5,FALSE)</f>
        <v>N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ht="15.75" customHeight="1">
      <c r="A16" s="29" t="str">
        <f>VLOOKUP(Enrolment!C16,'Course Registry'!$A$2:$F$21,2,FALSE)</f>
        <v>Associate Degree</v>
      </c>
      <c r="B16" s="29" t="str">
        <f>VLOOKUP(Enrolment!C16,'Course Registry'!$A$2:$F$21,2,FALSE)</f>
        <v>Associate Degree</v>
      </c>
      <c r="C16" s="7" t="s">
        <v>214</v>
      </c>
      <c r="D16" s="7" t="str">
        <f>VLOOKUP(Enrolment!C16,'Course Registry'!$A$2:$F$21,4,FALSE)</f>
        <v>No</v>
      </c>
      <c r="E16" s="7" t="str">
        <f>VLOOKUP(Enrolment!C16,'Course Registry'!$A$2:$F$21,5,FALSE)</f>
        <v>N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</row>
    <row r="17" spans="1:24" ht="15.75" customHeight="1">
      <c r="A17" s="29" t="str">
        <f>VLOOKUP(Enrolment!C17,'Course Registry'!$A$2:$F$21,2,FALSE)</f>
        <v>Associate Degree</v>
      </c>
      <c r="B17" s="29" t="str">
        <f>VLOOKUP(Enrolment!C17,'Course Registry'!$A$2:$F$21,2,FALSE)</f>
        <v>Associate Degree</v>
      </c>
      <c r="C17" s="7" t="s">
        <v>216</v>
      </c>
      <c r="D17" s="7" t="str">
        <f>VLOOKUP(Enrolment!C17,'Course Registry'!$A$2:$F$21,4,FALSE)</f>
        <v>No</v>
      </c>
      <c r="E17" s="7" t="str">
        <f>VLOOKUP(Enrolment!C17,'Course Registry'!$A$2:$F$21,5,FALSE)</f>
        <v>N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</row>
    <row r="18" spans="1:24" ht="15.75" customHeight="1">
      <c r="A18" s="29" t="str">
        <f>VLOOKUP(Enrolment!C18,'Course Registry'!$A$2:$F$21,2,FALSE)</f>
        <v>Associate Degree</v>
      </c>
      <c r="B18" s="29" t="str">
        <f>VLOOKUP(Enrolment!C18,'Course Registry'!$A$2:$F$21,2,FALSE)</f>
        <v>Associate Degree</v>
      </c>
      <c r="C18" s="7" t="s">
        <v>217</v>
      </c>
      <c r="D18" s="7" t="str">
        <f>VLOOKUP(Enrolment!C18,'Course Registry'!$A$2:$F$21,4,FALSE)</f>
        <v>No</v>
      </c>
      <c r="E18" s="7" t="str">
        <f>VLOOKUP(Enrolment!C18,'Course Registry'!$A$2:$F$21,5,FALSE)</f>
        <v>N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</row>
    <row r="19" spans="1:24" ht="15.75" customHeight="1">
      <c r="A19" s="29" t="str">
        <f>VLOOKUP(Enrolment!C19,'Course Registry'!$A$2:$F$21,2,FALSE)</f>
        <v>Associate Degree</v>
      </c>
      <c r="B19" s="29" t="str">
        <f>VLOOKUP(Enrolment!C19,'Course Registry'!$A$2:$F$21,2,FALSE)</f>
        <v>Associate Degree</v>
      </c>
      <c r="C19" s="7" t="s">
        <v>218</v>
      </c>
      <c r="D19" s="7" t="str">
        <f>VLOOKUP(Enrolment!C19,'Course Registry'!$A$2:$F$21,4,FALSE)</f>
        <v>No</v>
      </c>
      <c r="E19" s="7" t="str">
        <f>VLOOKUP(Enrolment!C19,'Course Registry'!$A$2:$F$21,5,FALSE)</f>
        <v>N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ht="15.75" customHeight="1">
      <c r="A20" s="29" t="str">
        <f>VLOOKUP(Enrolment!C20,'Course Registry'!$A$2:$F$21,2,FALSE)</f>
        <v>Undergraduate Degree</v>
      </c>
      <c r="B20" s="29" t="str">
        <f>VLOOKUP(Enrolment!C20,'Course Registry'!$A$2:$F$21,2,FALSE)</f>
        <v>Undergraduate Degree</v>
      </c>
      <c r="C20" s="7" t="s">
        <v>219</v>
      </c>
      <c r="D20" s="7" t="str">
        <f>VLOOKUP(Enrolment!C20,'Course Registry'!$A$2:$F$21,4,FALSE)</f>
        <v>No</v>
      </c>
      <c r="E20" s="7" t="str">
        <f>VLOOKUP(Enrolment!C20,'Course Registry'!$A$2:$F$21,5,FALSE)</f>
        <v>N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</row>
    <row r="21" spans="1:24" ht="15.75" customHeight="1">
      <c r="A21" s="29" t="str">
        <f>VLOOKUP(Enrolment!C21,'Course Registry'!$A$2:$F$21,2,FALSE)</f>
        <v>Undergraduate Degree</v>
      </c>
      <c r="B21" s="29" t="str">
        <f>VLOOKUP(Enrolment!C21,'Course Registry'!$A$2:$F$21,2,FALSE)</f>
        <v>Undergraduate Degree</v>
      </c>
      <c r="C21" s="7" t="s">
        <v>221</v>
      </c>
      <c r="D21" s="7" t="str">
        <f>VLOOKUP(Enrolment!C21,'Course Registry'!$A$2:$F$21,4,FALSE)</f>
        <v>Locally</v>
      </c>
      <c r="E21" s="7" t="str">
        <f>VLOOKUP(Enrolment!C21,'Course Registry'!$A$2:$F$21,5,FALSE)</f>
        <v>N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</row>
    <row r="22" spans="1:24" ht="15.75" customHeight="1">
      <c r="A22" s="29" t="str">
        <f>VLOOKUP(Enrolment!C22,'Course Registry'!$A$2:$F$21,2,FALSE)</f>
        <v>Undergraduate Degree</v>
      </c>
      <c r="B22" s="29" t="str">
        <f>VLOOKUP(Enrolment!C22,'Course Registry'!$A$2:$F$21,2,FALSE)</f>
        <v>Undergraduate Degree</v>
      </c>
      <c r="C22" s="7" t="s">
        <v>223</v>
      </c>
      <c r="D22" s="7" t="str">
        <f>VLOOKUP(Enrolment!C22,'Course Registry'!$A$2:$F$21,4,FALSE)</f>
        <v>Locally</v>
      </c>
      <c r="E22" s="7" t="str">
        <f>VLOOKUP(Enrolment!C22,'Course Registry'!$A$2:$F$21,5,FALSE)</f>
        <v>N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ht="15.75" customHeight="1">
      <c r="A23" s="29" t="str">
        <f>VLOOKUP(Enrolment!C23,'Course Registry'!$A$2:$F$21,2,FALSE)</f>
        <v>Undergraduate Degree</v>
      </c>
      <c r="B23" s="29" t="str">
        <f>VLOOKUP(Enrolment!C23,'Course Registry'!$A$2:$F$21,2,FALSE)</f>
        <v>Undergraduate Degree</v>
      </c>
      <c r="C23" s="7" t="s">
        <v>224</v>
      </c>
      <c r="D23" s="7" t="str">
        <f>VLOOKUP(Enrolment!C23,'Course Registry'!$A$2:$F$21,4,FALSE)</f>
        <v>Regionally</v>
      </c>
      <c r="E23" s="7" t="str">
        <f>VLOOKUP(Enrolment!C23,'Course Registry'!$A$2:$F$21,5,FALSE)</f>
        <v>N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</row>
    <row r="24" spans="1:24" ht="15.75" customHeight="1">
      <c r="A24" s="29" t="str">
        <f>VLOOKUP(Enrolment!C24,'Course Registry'!$A$2:$F$21,2,FALSE)</f>
        <v>Graduate Degree</v>
      </c>
      <c r="B24" s="29" t="str">
        <f>VLOOKUP(Enrolment!C24,'Course Registry'!$A$2:$F$21,2,FALSE)</f>
        <v>Graduate Degree</v>
      </c>
      <c r="C24" s="7" t="s">
        <v>226</v>
      </c>
      <c r="D24" s="7" t="str">
        <f>VLOOKUP(Enrolment!C24,'Course Registry'!$A$2:$F$21,4,FALSE)</f>
        <v>Regionally</v>
      </c>
      <c r="E24" s="7" t="str">
        <f>VLOOKUP(Enrolment!C24,'Course Registry'!$A$2:$F$21,5,FALSE)</f>
        <v>N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</row>
    <row r="25" spans="1:24" ht="15.75" customHeight="1">
      <c r="A25" s="29" t="str">
        <f>VLOOKUP(Enrolment!C25,'Course Registry'!$A$2:$F$21,2,FALSE)</f>
        <v>Graduate Degree</v>
      </c>
      <c r="B25" s="29" t="str">
        <f>VLOOKUP(Enrolment!C25,'Course Registry'!$A$2:$F$21,2,FALSE)</f>
        <v>Graduate Degree</v>
      </c>
      <c r="C25" s="7" t="s">
        <v>228</v>
      </c>
      <c r="D25" s="7" t="str">
        <f>VLOOKUP(Enrolment!C25,'Course Registry'!$A$2:$F$21,4,FALSE)</f>
        <v>Regionally</v>
      </c>
      <c r="E25" s="7" t="str">
        <f>VLOOKUP(Enrolment!C25,'Course Registry'!$A$2:$F$21,5,FALSE)</f>
        <v>N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</row>
    <row r="26" spans="1:24" ht="15.75" customHeight="1">
      <c r="A26" s="29" t="str">
        <f>VLOOKUP(Enrolment!C26,'Course Registry'!$A$2:$F$21,2,FALSE)</f>
        <v>Post Graduate Degree</v>
      </c>
      <c r="B26" s="29" t="str">
        <f>VLOOKUP(Enrolment!C26,'Course Registry'!$A$2:$F$21,2,FALSE)</f>
        <v>Post Graduate Degree</v>
      </c>
      <c r="C26" s="7" t="s">
        <v>229</v>
      </c>
      <c r="D26" s="7" t="str">
        <f>VLOOKUP(Enrolment!C26,'Course Registry'!$A$2:$F$21,4,FALSE)</f>
        <v>Regionally</v>
      </c>
      <c r="E26" s="7" t="str">
        <f>VLOOKUP(Enrolment!C26,'Course Registry'!$A$2:$F$21,5,FALSE)</f>
        <v>N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</row>
    <row r="27" spans="1:24" ht="15.75" customHeight="1">
      <c r="A27" s="29" t="str">
        <f>VLOOKUP(Enrolment!C27,'Course Registry'!$A$2:$F$21,2,FALSE)</f>
        <v>Stand Alone Academic Courses</v>
      </c>
      <c r="B27" s="29" t="str">
        <f>VLOOKUP(Enrolment!C27,'Course Registry'!$A$2:$F$21,2,FALSE)</f>
        <v>Stand Alone Academic Courses</v>
      </c>
      <c r="C27" s="7" t="s">
        <v>231</v>
      </c>
      <c r="D27" s="7" t="str">
        <f>VLOOKUP(Enrolment!C27,'Course Registry'!$A$2:$F$21,4,FALSE)</f>
        <v>Regionally</v>
      </c>
      <c r="E27" s="7" t="str">
        <f>VLOOKUP(Enrolment!C27,'Course Registry'!$A$2:$F$21,5,FALSE)</f>
        <v>N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</row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honeticPr fontId="20" type="noConversion"/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F5D4EC-ECC0-493B-AC8E-33D5C4CE63A5}">
          <x14:formula1>
            <xm:f>'Course Registry'!$A$2:$A$21</xm:f>
          </x14:formula1>
          <xm:sqref>C8:C27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showGridLines="0"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4" customWidth="1"/>
    <col min="2" max="18" width="8" customWidth="1"/>
    <col min="19" max="26" width="8.7109375" customWidth="1"/>
  </cols>
  <sheetData>
    <row r="1" spans="1:18" ht="27.75" customHeight="1">
      <c r="A1" s="68" t="s">
        <v>322</v>
      </c>
      <c r="B1" s="69"/>
      <c r="C1" s="69"/>
      <c r="D1" s="69"/>
      <c r="E1" s="69"/>
    </row>
    <row r="2" spans="1:18" ht="21.75" customHeight="1">
      <c r="A2" s="62" t="s">
        <v>323</v>
      </c>
      <c r="B2" s="72"/>
      <c r="C2" s="72"/>
      <c r="D2" s="72"/>
      <c r="E2" s="75"/>
      <c r="F2" s="23" t="s">
        <v>295</v>
      </c>
      <c r="G2" s="24" t="s">
        <v>296</v>
      </c>
    </row>
    <row r="3" spans="1:18" ht="15.75" customHeight="1">
      <c r="A3" s="71" t="s">
        <v>324</v>
      </c>
      <c r="B3" s="69"/>
      <c r="C3" s="69"/>
      <c r="D3" s="69"/>
      <c r="E3" s="69"/>
    </row>
    <row r="6" spans="1:18" ht="36" customHeight="1">
      <c r="A6" s="25" t="s">
        <v>325</v>
      </c>
      <c r="B6" s="26" t="s">
        <v>326</v>
      </c>
      <c r="C6" s="25" t="s">
        <v>327</v>
      </c>
      <c r="D6" s="27" t="s">
        <v>328</v>
      </c>
    </row>
    <row r="7" spans="1:18" ht="30" customHeight="1">
      <c r="A7" s="30" t="s">
        <v>329</v>
      </c>
      <c r="B7" s="63" t="s">
        <v>330</v>
      </c>
      <c r="C7" s="75"/>
      <c r="D7" s="63" t="s">
        <v>331</v>
      </c>
      <c r="E7" s="75"/>
      <c r="F7" s="63" t="s">
        <v>332</v>
      </c>
      <c r="G7" s="75"/>
      <c r="H7" s="63" t="s">
        <v>333</v>
      </c>
      <c r="I7" s="75"/>
      <c r="J7" s="63" t="s">
        <v>334</v>
      </c>
      <c r="K7" s="75"/>
      <c r="L7" s="63" t="s">
        <v>335</v>
      </c>
      <c r="M7" s="75"/>
      <c r="N7" s="63" t="s">
        <v>336</v>
      </c>
      <c r="O7" s="75"/>
      <c r="P7" s="30" t="s">
        <v>337</v>
      </c>
      <c r="Q7" s="30" t="s">
        <v>338</v>
      </c>
    </row>
    <row r="8" spans="1:18" ht="15.75" customHeight="1">
      <c r="B8" s="28" t="s">
        <v>339</v>
      </c>
      <c r="C8" s="28" t="s">
        <v>340</v>
      </c>
      <c r="D8" s="28" t="s">
        <v>339</v>
      </c>
      <c r="E8" s="28" t="s">
        <v>340</v>
      </c>
      <c r="F8" s="28" t="s">
        <v>339</v>
      </c>
      <c r="G8" s="28" t="s">
        <v>340</v>
      </c>
      <c r="H8" s="28" t="s">
        <v>339</v>
      </c>
      <c r="I8" s="28" t="s">
        <v>340</v>
      </c>
      <c r="J8" s="28" t="s">
        <v>339</v>
      </c>
      <c r="K8" s="28" t="s">
        <v>340</v>
      </c>
      <c r="L8" s="28" t="s">
        <v>339</v>
      </c>
      <c r="M8" s="28" t="s">
        <v>340</v>
      </c>
      <c r="N8" s="28" t="s">
        <v>339</v>
      </c>
      <c r="O8" s="28" t="s">
        <v>340</v>
      </c>
      <c r="P8" s="1"/>
      <c r="Q8" s="1"/>
    </row>
    <row r="9" spans="1:18" ht="15" customHeight="1">
      <c r="A9" s="31" t="s">
        <v>341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</row>
    <row r="10" spans="1:18" ht="15" customHeight="1">
      <c r="A10" s="33" t="s">
        <v>342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5" t="s">
        <v>343</v>
      </c>
    </row>
    <row r="11" spans="1:18" ht="15" customHeight="1">
      <c r="A11" s="33" t="s">
        <v>344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5" t="s">
        <v>343</v>
      </c>
    </row>
    <row r="12" spans="1:18" ht="15" customHeight="1">
      <c r="A12" s="33" t="s">
        <v>345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5" t="s">
        <v>343</v>
      </c>
    </row>
    <row r="13" spans="1:18" ht="15" customHeight="1">
      <c r="A13" s="33" t="s">
        <v>346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5" t="s">
        <v>343</v>
      </c>
    </row>
    <row r="14" spans="1:18" ht="15" customHeight="1">
      <c r="A14" s="33" t="s">
        <v>347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5" t="s">
        <v>343</v>
      </c>
    </row>
    <row r="15" spans="1:18" ht="15" customHeight="1">
      <c r="A15" s="33" t="s">
        <v>348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5" t="s">
        <v>343</v>
      </c>
    </row>
    <row r="16" spans="1:18" ht="15" customHeight="1">
      <c r="A16" s="33" t="s">
        <v>349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5" t="s">
        <v>343</v>
      </c>
    </row>
    <row r="17" spans="1:18" ht="15" customHeight="1">
      <c r="A17" s="33" t="s">
        <v>350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5" t="s">
        <v>343</v>
      </c>
    </row>
    <row r="18" spans="1:18" ht="15" customHeight="1">
      <c r="A18" s="33" t="s">
        <v>351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5" t="s">
        <v>343</v>
      </c>
    </row>
    <row r="19" spans="1:18" ht="15" customHeight="1">
      <c r="A19" s="31" t="s">
        <v>352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</row>
    <row r="20" spans="1:18" ht="15" customHeight="1">
      <c r="A20" s="31" t="s">
        <v>353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</row>
    <row r="21" spans="1:18" ht="15" customHeight="1">
      <c r="A21" s="31" t="s">
        <v>354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</row>
    <row r="22" spans="1:18" ht="15" customHeight="1">
      <c r="A22" s="31" t="s">
        <v>355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</row>
    <row r="23" spans="1:18" ht="15" customHeight="1">
      <c r="A23" s="31" t="s">
        <v>356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</row>
    <row r="24" spans="1:18" ht="15" customHeight="1">
      <c r="A24" s="31" t="s">
        <v>357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</row>
    <row r="25" spans="1:18" ht="15" customHeight="1">
      <c r="A25" s="31" t="s">
        <v>358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</row>
    <row r="26" spans="1:18" ht="15" customHeight="1">
      <c r="A26" s="31" t="s">
        <v>359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</row>
    <row r="27" spans="1:18" ht="15" customHeight="1">
      <c r="A27" s="31" t="s">
        <v>360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</row>
    <row r="28" spans="1:18" ht="15" customHeight="1">
      <c r="A28" s="36" t="s">
        <v>274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</row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7:K7"/>
    <mergeCell ref="L7:M7"/>
    <mergeCell ref="N7:O7"/>
    <mergeCell ref="A1:E1"/>
    <mergeCell ref="A2:E2"/>
    <mergeCell ref="A3:E3"/>
    <mergeCell ref="B7:C7"/>
    <mergeCell ref="D7:E7"/>
    <mergeCell ref="F7:G7"/>
    <mergeCell ref="H7:I7"/>
  </mergeCell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showGridLines="0" workbookViewId="0">
      <selection sqref="A1:F1"/>
    </sheetView>
  </sheetViews>
  <sheetFormatPr defaultColWidth="14.42578125" defaultRowHeight="15" customHeight="1"/>
  <cols>
    <col min="1" max="1" width="38" customWidth="1"/>
    <col min="2" max="2" width="18" customWidth="1"/>
    <col min="3" max="3" width="8" customWidth="1"/>
    <col min="4" max="6" width="10" customWidth="1"/>
    <col min="7" max="7" width="22" customWidth="1"/>
    <col min="8" max="26" width="8.7109375" customWidth="1"/>
  </cols>
  <sheetData>
    <row r="1" spans="1:7" ht="27.75" customHeight="1">
      <c r="A1" s="68" t="s">
        <v>361</v>
      </c>
      <c r="B1" s="69"/>
      <c r="C1" s="69"/>
      <c r="D1" s="69"/>
      <c r="E1" s="69"/>
      <c r="F1" s="69"/>
    </row>
    <row r="2" spans="1:7" ht="21.75" customHeight="1">
      <c r="A2" s="62" t="s">
        <v>362</v>
      </c>
      <c r="B2" s="72"/>
      <c r="C2" s="72"/>
      <c r="D2" s="72"/>
      <c r="E2" s="72"/>
      <c r="F2" s="75"/>
      <c r="G2" s="24" t="s">
        <v>296</v>
      </c>
    </row>
    <row r="3" spans="1:7" ht="15.75" customHeight="1">
      <c r="A3" s="71"/>
      <c r="B3" s="69"/>
      <c r="C3" s="69"/>
      <c r="D3" s="69"/>
      <c r="E3" s="69"/>
      <c r="F3" s="69"/>
    </row>
    <row r="6" spans="1:7" ht="18" customHeight="1">
      <c r="A6" s="61" t="s">
        <v>363</v>
      </c>
      <c r="B6" s="72"/>
      <c r="C6" s="72"/>
      <c r="D6" s="72"/>
      <c r="E6" s="72"/>
      <c r="F6" s="72"/>
    </row>
    <row r="7" spans="1:7" ht="36" customHeight="1">
      <c r="A7" s="25" t="s">
        <v>364</v>
      </c>
      <c r="B7" s="25" t="s">
        <v>300</v>
      </c>
    </row>
    <row r="8" spans="1:7" ht="15.75" customHeight="1">
      <c r="A8" s="28" t="s">
        <v>365</v>
      </c>
      <c r="B8" s="28" t="s">
        <v>366</v>
      </c>
      <c r="C8" s="28" t="s">
        <v>155</v>
      </c>
      <c r="D8" s="28" t="s">
        <v>42</v>
      </c>
      <c r="E8" s="28" t="s">
        <v>274</v>
      </c>
      <c r="F8" s="37"/>
    </row>
    <row r="9" spans="1:7" ht="13.5" customHeight="1">
      <c r="A9" s="6" t="s">
        <v>367</v>
      </c>
      <c r="B9" s="7" t="s">
        <v>368</v>
      </c>
      <c r="C9" s="3" t="s">
        <v>339</v>
      </c>
      <c r="D9" s="11">
        <v>0</v>
      </c>
      <c r="E9" s="11"/>
      <c r="F9" s="3"/>
    </row>
    <row r="10" spans="1:7" ht="13.5" customHeight="1">
      <c r="A10" s="7"/>
      <c r="B10" s="7"/>
      <c r="C10" s="3" t="s">
        <v>340</v>
      </c>
      <c r="D10" s="11">
        <v>0</v>
      </c>
      <c r="E10" s="11"/>
      <c r="F10" s="3"/>
    </row>
    <row r="11" spans="1:7" ht="13.5" customHeight="1">
      <c r="A11" s="6"/>
      <c r="B11" s="7" t="s">
        <v>369</v>
      </c>
      <c r="C11" s="3" t="s">
        <v>339</v>
      </c>
      <c r="D11" s="11">
        <v>0</v>
      </c>
      <c r="E11" s="11"/>
      <c r="F11" s="3"/>
    </row>
    <row r="12" spans="1:7" ht="13.5" customHeight="1">
      <c r="A12" s="7"/>
      <c r="B12" s="7"/>
      <c r="C12" s="3" t="s">
        <v>340</v>
      </c>
      <c r="D12" s="11">
        <v>0</v>
      </c>
      <c r="E12" s="11"/>
      <c r="F12" s="3"/>
    </row>
    <row r="13" spans="1:7" ht="13.5" customHeight="1">
      <c r="A13" s="6"/>
      <c r="B13" s="7" t="s">
        <v>370</v>
      </c>
      <c r="C13" s="3" t="s">
        <v>339</v>
      </c>
      <c r="D13" s="11">
        <v>0</v>
      </c>
      <c r="E13" s="11"/>
      <c r="F13" s="3"/>
    </row>
    <row r="14" spans="1:7" ht="13.5" customHeight="1">
      <c r="A14" s="7"/>
      <c r="B14" s="7"/>
      <c r="C14" s="3" t="s">
        <v>340</v>
      </c>
      <c r="D14" s="11">
        <v>0</v>
      </c>
      <c r="E14" s="11"/>
      <c r="F14" s="3"/>
    </row>
    <row r="15" spans="1:7" ht="13.5" customHeight="1">
      <c r="A15" s="6" t="s">
        <v>371</v>
      </c>
      <c r="B15" s="7" t="s">
        <v>368</v>
      </c>
      <c r="C15" s="3" t="s">
        <v>339</v>
      </c>
      <c r="D15" s="11">
        <v>0</v>
      </c>
      <c r="E15" s="11"/>
      <c r="F15" s="3"/>
    </row>
    <row r="16" spans="1:7" ht="13.5" customHeight="1">
      <c r="A16" s="7"/>
      <c r="B16" s="7"/>
      <c r="C16" s="3" t="s">
        <v>340</v>
      </c>
      <c r="D16" s="11">
        <v>0</v>
      </c>
      <c r="E16" s="11"/>
      <c r="F16" s="3"/>
    </row>
    <row r="17" spans="1:6" ht="13.5" customHeight="1">
      <c r="A17" s="6"/>
      <c r="B17" s="7" t="s">
        <v>369</v>
      </c>
      <c r="C17" s="3" t="s">
        <v>339</v>
      </c>
      <c r="D17" s="11">
        <v>0</v>
      </c>
      <c r="E17" s="11"/>
      <c r="F17" s="3"/>
    </row>
    <row r="18" spans="1:6" ht="13.5" customHeight="1">
      <c r="A18" s="7"/>
      <c r="B18" s="7"/>
      <c r="C18" s="3" t="s">
        <v>340</v>
      </c>
      <c r="D18" s="11">
        <v>0</v>
      </c>
      <c r="E18" s="11"/>
      <c r="F18" s="3"/>
    </row>
    <row r="19" spans="1:6" ht="13.5" customHeight="1">
      <c r="A19" s="6"/>
      <c r="B19" s="7" t="s">
        <v>370</v>
      </c>
      <c r="C19" s="3" t="s">
        <v>339</v>
      </c>
      <c r="D19" s="11">
        <v>0</v>
      </c>
      <c r="E19" s="11"/>
      <c r="F19" s="3"/>
    </row>
    <row r="20" spans="1:6" ht="13.5" customHeight="1">
      <c r="A20" s="7"/>
      <c r="B20" s="7"/>
      <c r="C20" s="3" t="s">
        <v>340</v>
      </c>
      <c r="D20" s="11">
        <v>0</v>
      </c>
      <c r="E20" s="11"/>
      <c r="F20" s="3"/>
    </row>
    <row r="21" spans="1:6" ht="13.5" customHeight="1">
      <c r="A21" s="6" t="s">
        <v>372</v>
      </c>
      <c r="B21" s="7" t="s">
        <v>368</v>
      </c>
      <c r="C21" s="3" t="s">
        <v>339</v>
      </c>
      <c r="D21" s="11">
        <v>0</v>
      </c>
      <c r="E21" s="11"/>
      <c r="F21" s="3"/>
    </row>
    <row r="22" spans="1:6" ht="13.5" customHeight="1">
      <c r="A22" s="7"/>
      <c r="B22" s="7"/>
      <c r="C22" s="3" t="s">
        <v>340</v>
      </c>
      <c r="D22" s="11">
        <v>0</v>
      </c>
      <c r="E22" s="11"/>
      <c r="F22" s="3"/>
    </row>
    <row r="23" spans="1:6" ht="13.5" customHeight="1">
      <c r="A23" s="6"/>
      <c r="B23" s="7" t="s">
        <v>369</v>
      </c>
      <c r="C23" s="3" t="s">
        <v>339</v>
      </c>
      <c r="D23" s="11">
        <v>0</v>
      </c>
      <c r="E23" s="11"/>
      <c r="F23" s="3"/>
    </row>
    <row r="24" spans="1:6" ht="13.5" customHeight="1">
      <c r="A24" s="7"/>
      <c r="B24" s="7"/>
      <c r="C24" s="3" t="s">
        <v>340</v>
      </c>
      <c r="D24" s="11">
        <v>0</v>
      </c>
      <c r="E24" s="11"/>
      <c r="F24" s="3"/>
    </row>
    <row r="25" spans="1:6" ht="13.5" customHeight="1">
      <c r="A25" s="6"/>
      <c r="B25" s="7" t="s">
        <v>370</v>
      </c>
      <c r="C25" s="3" t="s">
        <v>339</v>
      </c>
      <c r="D25" s="11">
        <v>0</v>
      </c>
      <c r="E25" s="11"/>
      <c r="F25" s="3"/>
    </row>
    <row r="26" spans="1:6" ht="13.5" customHeight="1">
      <c r="A26" s="7"/>
      <c r="B26" s="7"/>
      <c r="C26" s="3" t="s">
        <v>340</v>
      </c>
      <c r="D26" s="11">
        <v>0</v>
      </c>
      <c r="E26" s="11"/>
      <c r="F26" s="3"/>
    </row>
    <row r="27" spans="1:6" ht="13.5" customHeight="1">
      <c r="A27" s="6" t="s">
        <v>127</v>
      </c>
      <c r="B27" s="7" t="s">
        <v>368</v>
      </c>
      <c r="C27" s="3" t="s">
        <v>339</v>
      </c>
      <c r="D27" s="11">
        <v>0</v>
      </c>
      <c r="E27" s="11"/>
      <c r="F27" s="3"/>
    </row>
    <row r="28" spans="1:6" ht="13.5" customHeight="1">
      <c r="A28" s="7"/>
      <c r="B28" s="7"/>
      <c r="C28" s="3" t="s">
        <v>340</v>
      </c>
      <c r="D28" s="11">
        <v>0</v>
      </c>
      <c r="E28" s="11"/>
      <c r="F28" s="3"/>
    </row>
    <row r="29" spans="1:6" ht="13.5" customHeight="1">
      <c r="A29" s="6"/>
      <c r="B29" s="7" t="s">
        <v>369</v>
      </c>
      <c r="C29" s="3" t="s">
        <v>339</v>
      </c>
      <c r="D29" s="11">
        <v>0</v>
      </c>
      <c r="E29" s="11"/>
      <c r="F29" s="3"/>
    </row>
    <row r="30" spans="1:6" ht="13.5" customHeight="1">
      <c r="A30" s="7"/>
      <c r="B30" s="7"/>
      <c r="C30" s="3" t="s">
        <v>340</v>
      </c>
      <c r="D30" s="11">
        <v>0</v>
      </c>
      <c r="E30" s="11"/>
      <c r="F30" s="3"/>
    </row>
    <row r="31" spans="1:6" ht="13.5" customHeight="1">
      <c r="A31" s="6"/>
      <c r="B31" s="7" t="s">
        <v>370</v>
      </c>
      <c r="C31" s="3" t="s">
        <v>339</v>
      </c>
      <c r="D31" s="11">
        <v>0</v>
      </c>
      <c r="E31" s="11"/>
      <c r="F31" s="3"/>
    </row>
    <row r="32" spans="1:6" ht="13.5" customHeight="1">
      <c r="A32" s="7"/>
      <c r="B32" s="7"/>
      <c r="C32" s="3" t="s">
        <v>340</v>
      </c>
      <c r="D32" s="11">
        <v>0</v>
      </c>
      <c r="E32" s="11"/>
      <c r="F32" s="3"/>
    </row>
    <row r="33" spans="1:6" ht="13.5" customHeight="1">
      <c r="A33" s="6" t="s">
        <v>129</v>
      </c>
      <c r="B33" s="7" t="s">
        <v>368</v>
      </c>
      <c r="C33" s="3" t="s">
        <v>339</v>
      </c>
      <c r="D33" s="11">
        <v>0</v>
      </c>
      <c r="E33" s="11"/>
      <c r="F33" s="3"/>
    </row>
    <row r="34" spans="1:6" ht="13.5" customHeight="1">
      <c r="A34" s="7"/>
      <c r="B34" s="7"/>
      <c r="C34" s="3" t="s">
        <v>340</v>
      </c>
      <c r="D34" s="11">
        <v>0</v>
      </c>
      <c r="E34" s="11"/>
      <c r="F34" s="3"/>
    </row>
    <row r="35" spans="1:6" ht="13.5" customHeight="1">
      <c r="A35" s="6"/>
      <c r="B35" s="7" t="s">
        <v>369</v>
      </c>
      <c r="C35" s="3" t="s">
        <v>339</v>
      </c>
      <c r="D35" s="11">
        <v>0</v>
      </c>
      <c r="E35" s="11"/>
      <c r="F35" s="3"/>
    </row>
    <row r="36" spans="1:6" ht="13.5" customHeight="1">
      <c r="A36" s="7"/>
      <c r="B36" s="7"/>
      <c r="C36" s="3" t="s">
        <v>340</v>
      </c>
      <c r="D36" s="11">
        <v>0</v>
      </c>
      <c r="E36" s="11"/>
      <c r="F36" s="3"/>
    </row>
    <row r="37" spans="1:6" ht="13.5" customHeight="1">
      <c r="A37" s="6"/>
      <c r="B37" s="7" t="s">
        <v>370</v>
      </c>
      <c r="C37" s="3" t="s">
        <v>339</v>
      </c>
      <c r="D37" s="11">
        <v>0</v>
      </c>
      <c r="E37" s="11"/>
      <c r="F37" s="3"/>
    </row>
    <row r="38" spans="1:6" ht="13.5" customHeight="1">
      <c r="A38" s="7"/>
      <c r="B38" s="7"/>
      <c r="C38" s="3" t="s">
        <v>340</v>
      </c>
      <c r="D38" s="11">
        <v>0</v>
      </c>
      <c r="E38" s="11"/>
      <c r="F38" s="3"/>
    </row>
    <row r="39" spans="1:6" ht="15.75" customHeight="1"/>
    <row r="40" spans="1:6" ht="18" customHeight="1">
      <c r="A40" s="61" t="s">
        <v>373</v>
      </c>
      <c r="B40" s="72"/>
      <c r="C40" s="72"/>
      <c r="D40" s="72"/>
      <c r="E40" s="72"/>
      <c r="F40" s="72"/>
    </row>
    <row r="41" spans="1:6" ht="13.5" customHeight="1">
      <c r="A41" s="7" t="s">
        <v>374</v>
      </c>
      <c r="B41" s="3" t="s">
        <v>375</v>
      </c>
      <c r="C41" s="3"/>
      <c r="D41" s="3"/>
      <c r="E41" s="3"/>
      <c r="F41" s="3"/>
    </row>
    <row r="42" spans="1:6" ht="13.5" customHeight="1">
      <c r="A42" s="7" t="s">
        <v>376</v>
      </c>
      <c r="B42" s="3" t="s">
        <v>375</v>
      </c>
      <c r="C42" s="3"/>
      <c r="D42" s="3"/>
      <c r="E42" s="3"/>
      <c r="F42" s="3"/>
    </row>
    <row r="43" spans="1:6" ht="13.5" customHeight="1">
      <c r="A43" s="7" t="s">
        <v>377</v>
      </c>
      <c r="B43" s="3" t="s">
        <v>375</v>
      </c>
      <c r="C43" s="3"/>
      <c r="D43" s="3"/>
      <c r="E43" s="3"/>
      <c r="F43" s="3"/>
    </row>
    <row r="44" spans="1:6" ht="13.5" customHeight="1">
      <c r="A44" s="7" t="s">
        <v>378</v>
      </c>
      <c r="B44" s="3" t="s">
        <v>375</v>
      </c>
      <c r="C44" s="3"/>
      <c r="D44" s="3"/>
      <c r="E44" s="3"/>
      <c r="F44" s="3"/>
    </row>
    <row r="45" spans="1:6" ht="13.5" customHeight="1">
      <c r="A45" s="7" t="s">
        <v>379</v>
      </c>
      <c r="B45" s="3" t="s">
        <v>375</v>
      </c>
      <c r="C45" s="3"/>
      <c r="D45" s="3"/>
      <c r="E45" s="3"/>
      <c r="F45" s="3"/>
    </row>
    <row r="46" spans="1:6" ht="13.5" customHeight="1">
      <c r="A46" s="7" t="s">
        <v>380</v>
      </c>
      <c r="B46" s="3" t="s">
        <v>375</v>
      </c>
      <c r="C46" s="3"/>
      <c r="D46" s="3"/>
      <c r="E46" s="3"/>
      <c r="F46" s="3"/>
    </row>
    <row r="47" spans="1:6" ht="15.75" customHeight="1"/>
    <row r="48" spans="1:6" ht="18" customHeight="1">
      <c r="A48" s="61" t="s">
        <v>381</v>
      </c>
      <c r="B48" s="72"/>
      <c r="C48" s="72"/>
      <c r="D48" s="72"/>
      <c r="E48" s="72"/>
      <c r="F48" s="72"/>
    </row>
    <row r="49" spans="1:6" ht="36" customHeight="1">
      <c r="A49" s="25" t="s">
        <v>382</v>
      </c>
    </row>
    <row r="50" spans="1:6" ht="15.75" customHeight="1">
      <c r="A50" s="6" t="s">
        <v>383</v>
      </c>
      <c r="B50" s="11">
        <v>0</v>
      </c>
      <c r="C50" s="3"/>
      <c r="D50" s="3"/>
      <c r="E50" s="3"/>
      <c r="F50" s="3"/>
    </row>
    <row r="51" spans="1:6" ht="15.75" customHeight="1">
      <c r="A51" s="6" t="s">
        <v>384</v>
      </c>
      <c r="B51" s="11">
        <v>0</v>
      </c>
      <c r="C51" s="3"/>
      <c r="D51" s="3"/>
      <c r="E51" s="3"/>
      <c r="F51" s="3"/>
    </row>
    <row r="52" spans="1:6" ht="15.75" customHeight="1">
      <c r="A52" s="6" t="s">
        <v>274</v>
      </c>
      <c r="B52" s="11">
        <v>0</v>
      </c>
      <c r="C52" s="3"/>
      <c r="D52" s="3"/>
      <c r="E52" s="3"/>
      <c r="F52" s="3"/>
    </row>
    <row r="53" spans="1:6" ht="15.75" customHeight="1"/>
    <row r="54" spans="1:6" ht="18" customHeight="1">
      <c r="A54" s="61" t="s">
        <v>385</v>
      </c>
      <c r="B54" s="72"/>
      <c r="C54" s="72"/>
      <c r="D54" s="72"/>
      <c r="E54" s="72"/>
      <c r="F54" s="72"/>
    </row>
    <row r="55" spans="1:6" ht="36" customHeight="1">
      <c r="A55" s="25" t="s">
        <v>386</v>
      </c>
      <c r="B55" s="25" t="s">
        <v>387</v>
      </c>
    </row>
    <row r="56" spans="1:6" ht="15.75" customHeight="1">
      <c r="A56" s="28" t="s">
        <v>388</v>
      </c>
      <c r="B56" s="28" t="s">
        <v>96</v>
      </c>
      <c r="C56" s="28" t="s">
        <v>95</v>
      </c>
      <c r="D56" s="28" t="s">
        <v>274</v>
      </c>
      <c r="E56" s="37"/>
      <c r="F56" s="37"/>
    </row>
    <row r="57" spans="1:6" ht="13.5" customHeight="1">
      <c r="A57" s="7" t="s">
        <v>389</v>
      </c>
      <c r="B57" s="11">
        <v>0</v>
      </c>
      <c r="C57" s="11">
        <v>0</v>
      </c>
      <c r="D57" s="11">
        <v>0</v>
      </c>
      <c r="E57" s="3"/>
      <c r="F57" s="3"/>
    </row>
    <row r="58" spans="1:6" ht="13.5" customHeight="1">
      <c r="A58" s="3" t="s">
        <v>390</v>
      </c>
      <c r="B58" s="11">
        <v>0</v>
      </c>
      <c r="C58" s="11">
        <v>0</v>
      </c>
      <c r="D58" s="11">
        <v>0</v>
      </c>
      <c r="E58" s="3"/>
      <c r="F58" s="3"/>
    </row>
    <row r="59" spans="1:6" ht="13.5" customHeight="1">
      <c r="A59" s="7" t="s">
        <v>391</v>
      </c>
      <c r="B59" s="11">
        <v>0</v>
      </c>
      <c r="C59" s="11">
        <v>0</v>
      </c>
      <c r="D59" s="11">
        <v>0</v>
      </c>
      <c r="E59" s="3"/>
      <c r="F59" s="3"/>
    </row>
    <row r="60" spans="1:6" ht="13.5" customHeight="1">
      <c r="A60" s="3" t="s">
        <v>392</v>
      </c>
      <c r="B60" s="11">
        <v>0</v>
      </c>
      <c r="C60" s="11">
        <v>0</v>
      </c>
      <c r="D60" s="11">
        <v>0</v>
      </c>
      <c r="E60" s="3"/>
      <c r="F60" s="3"/>
    </row>
    <row r="61" spans="1:6" ht="13.5" customHeight="1">
      <c r="A61" s="7" t="s">
        <v>393</v>
      </c>
      <c r="B61" s="11">
        <v>0</v>
      </c>
      <c r="C61" s="11">
        <v>0</v>
      </c>
      <c r="D61" s="11">
        <v>0</v>
      </c>
      <c r="E61" s="3"/>
      <c r="F61" s="3"/>
    </row>
    <row r="62" spans="1:6" ht="13.5" customHeight="1">
      <c r="A62" s="3" t="s">
        <v>394</v>
      </c>
      <c r="B62" s="11">
        <v>0</v>
      </c>
      <c r="C62" s="11">
        <v>0</v>
      </c>
      <c r="D62" s="11">
        <v>0</v>
      </c>
      <c r="E62" s="3"/>
      <c r="F62" s="3"/>
    </row>
    <row r="63" spans="1:6" ht="13.5" customHeight="1">
      <c r="A63" s="7" t="s">
        <v>395</v>
      </c>
      <c r="B63" s="11">
        <v>0</v>
      </c>
      <c r="C63" s="11">
        <v>0</v>
      </c>
      <c r="D63" s="11">
        <v>0</v>
      </c>
      <c r="E63" s="3"/>
      <c r="F63" s="3"/>
    </row>
    <row r="64" spans="1:6" ht="13.5" customHeight="1">
      <c r="A64" s="3" t="s">
        <v>396</v>
      </c>
      <c r="B64" s="11">
        <v>0</v>
      </c>
      <c r="C64" s="11">
        <v>0</v>
      </c>
      <c r="D64" s="11">
        <v>0</v>
      </c>
      <c r="E64" s="3"/>
      <c r="F64" s="3"/>
    </row>
    <row r="65" spans="1:6" ht="13.5" customHeight="1">
      <c r="A65" s="7" t="s">
        <v>397</v>
      </c>
      <c r="B65" s="11">
        <v>0</v>
      </c>
      <c r="C65" s="11">
        <v>0</v>
      </c>
      <c r="D65" s="11">
        <v>0</v>
      </c>
      <c r="E65" s="3"/>
      <c r="F65" s="3"/>
    </row>
    <row r="66" spans="1:6" ht="13.5" customHeight="1">
      <c r="A66" s="3" t="s">
        <v>398</v>
      </c>
      <c r="B66" s="11">
        <v>0</v>
      </c>
      <c r="C66" s="11">
        <v>0</v>
      </c>
      <c r="D66" s="11">
        <v>0</v>
      </c>
      <c r="E66" s="3"/>
      <c r="F66" s="3"/>
    </row>
    <row r="67" spans="1:6" ht="13.5" customHeight="1">
      <c r="A67" s="7" t="s">
        <v>399</v>
      </c>
      <c r="B67" s="11">
        <v>0</v>
      </c>
      <c r="C67" s="11">
        <v>0</v>
      </c>
      <c r="D67" s="11">
        <v>0</v>
      </c>
      <c r="E67" s="3"/>
      <c r="F67" s="3"/>
    </row>
    <row r="68" spans="1:6" ht="15.75" customHeight="1"/>
    <row r="69" spans="1:6" ht="15.75" customHeight="1"/>
    <row r="70" spans="1:6" ht="15.75" customHeight="1"/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8:F48"/>
    <mergeCell ref="A54:F54"/>
    <mergeCell ref="A1:F1"/>
    <mergeCell ref="A2:F2"/>
    <mergeCell ref="A3:F3"/>
    <mergeCell ref="A6:F6"/>
    <mergeCell ref="A40:F40"/>
  </mergeCells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showGridLines="0"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20" customWidth="1"/>
    <col min="2" max="21" width="8" customWidth="1"/>
    <col min="22" max="26" width="8.7109375" customWidth="1"/>
  </cols>
  <sheetData>
    <row r="1" spans="1:21" ht="27.75" customHeight="1">
      <c r="A1" s="68" t="s">
        <v>400</v>
      </c>
      <c r="B1" s="69"/>
      <c r="C1" s="69"/>
      <c r="D1" s="69"/>
      <c r="E1" s="69"/>
      <c r="F1" s="69"/>
      <c r="G1" s="69"/>
    </row>
    <row r="2" spans="1:21" ht="21.75" customHeight="1">
      <c r="A2" s="62" t="s">
        <v>401</v>
      </c>
      <c r="B2" s="72"/>
      <c r="C2" s="72"/>
      <c r="D2" s="72"/>
      <c r="E2" s="72"/>
      <c r="F2" s="72"/>
      <c r="G2" s="75"/>
    </row>
    <row r="3" spans="1:21" ht="15.75" customHeight="1">
      <c r="A3" s="71" t="s">
        <v>402</v>
      </c>
      <c r="B3" s="69"/>
      <c r="C3" s="69"/>
      <c r="D3" s="69"/>
      <c r="E3" s="69"/>
      <c r="F3" s="69"/>
      <c r="G3" s="69"/>
    </row>
    <row r="6" spans="1:21" ht="18" customHeight="1">
      <c r="A6" s="61" t="s">
        <v>403</v>
      </c>
      <c r="B6" s="72"/>
      <c r="C6" s="72"/>
      <c r="D6" s="72"/>
      <c r="E6" s="72"/>
      <c r="F6" s="72"/>
      <c r="G6" s="72"/>
    </row>
    <row r="7" spans="1:21" ht="36" customHeight="1">
      <c r="A7" s="17" t="s">
        <v>404</v>
      </c>
      <c r="B7" s="17" t="s">
        <v>405</v>
      </c>
      <c r="C7" s="17" t="s">
        <v>406</v>
      </c>
      <c r="D7" s="17" t="s">
        <v>407</v>
      </c>
      <c r="E7" s="17" t="s">
        <v>408</v>
      </c>
      <c r="F7" s="17" t="s">
        <v>409</v>
      </c>
    </row>
    <row r="8" spans="1:21" ht="30" customHeight="1">
      <c r="A8" s="30" t="s">
        <v>135</v>
      </c>
      <c r="B8" s="64" t="s">
        <v>410</v>
      </c>
      <c r="C8" s="75"/>
      <c r="D8" s="64" t="s">
        <v>411</v>
      </c>
      <c r="E8" s="75"/>
      <c r="F8" s="64" t="s">
        <v>412</v>
      </c>
      <c r="G8" s="75"/>
      <c r="H8" s="64" t="s">
        <v>413</v>
      </c>
      <c r="I8" s="75"/>
      <c r="J8" s="64" t="s">
        <v>215</v>
      </c>
      <c r="K8" s="75"/>
      <c r="L8" s="64" t="s">
        <v>414</v>
      </c>
      <c r="M8" s="75"/>
      <c r="N8" s="64" t="s">
        <v>205</v>
      </c>
      <c r="O8" s="75"/>
      <c r="P8" s="64" t="s">
        <v>415</v>
      </c>
      <c r="Q8" s="75"/>
      <c r="R8" s="30" t="s">
        <v>337</v>
      </c>
      <c r="S8" s="30" t="s">
        <v>338</v>
      </c>
      <c r="T8" s="38" t="s">
        <v>416</v>
      </c>
      <c r="U8" s="38" t="s">
        <v>417</v>
      </c>
    </row>
    <row r="9" spans="1:21" ht="13.5" customHeight="1">
      <c r="B9" s="28" t="s">
        <v>339</v>
      </c>
      <c r="C9" s="28" t="s">
        <v>340</v>
      </c>
      <c r="D9" s="28" t="s">
        <v>339</v>
      </c>
      <c r="E9" s="28" t="s">
        <v>340</v>
      </c>
      <c r="F9" s="28" t="s">
        <v>339</v>
      </c>
      <c r="G9" s="28" t="s">
        <v>340</v>
      </c>
      <c r="H9" s="28" t="s">
        <v>339</v>
      </c>
      <c r="I9" s="28" t="s">
        <v>340</v>
      </c>
      <c r="J9" s="28" t="s">
        <v>339</v>
      </c>
      <c r="K9" s="28" t="s">
        <v>340</v>
      </c>
      <c r="L9" s="28" t="s">
        <v>339</v>
      </c>
      <c r="M9" s="28" t="s">
        <v>340</v>
      </c>
      <c r="N9" s="28" t="s">
        <v>339</v>
      </c>
      <c r="O9" s="28" t="s">
        <v>340</v>
      </c>
      <c r="P9" s="28" t="s">
        <v>339</v>
      </c>
      <c r="Q9" s="28" t="s">
        <v>340</v>
      </c>
      <c r="R9" s="28"/>
      <c r="S9" s="28"/>
      <c r="T9" s="28"/>
      <c r="U9" s="28"/>
    </row>
    <row r="10" spans="1:21" ht="15.75" customHeight="1">
      <c r="A10" s="7" t="s">
        <v>418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</row>
    <row r="11" spans="1:21" ht="15.75" customHeight="1">
      <c r="A11" s="7" t="s">
        <v>418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</row>
    <row r="12" spans="1:21" ht="15.75" customHeight="1">
      <c r="A12" s="7" t="s">
        <v>418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</row>
    <row r="13" spans="1:21" ht="15.75" customHeight="1">
      <c r="A13" s="6" t="s">
        <v>274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</row>
    <row r="17" spans="1:21" ht="18" customHeight="1">
      <c r="A17" s="61" t="s">
        <v>419</v>
      </c>
      <c r="B17" s="72"/>
      <c r="C17" s="72"/>
      <c r="D17" s="72"/>
      <c r="E17" s="72"/>
      <c r="F17" s="72"/>
      <c r="G17" s="72"/>
    </row>
    <row r="18" spans="1:21" ht="36" customHeight="1">
      <c r="A18" s="17" t="s">
        <v>404</v>
      </c>
      <c r="B18" s="17" t="s">
        <v>405</v>
      </c>
      <c r="C18" s="17" t="s">
        <v>406</v>
      </c>
      <c r="D18" s="17" t="s">
        <v>407</v>
      </c>
      <c r="E18" s="17" t="s">
        <v>408</v>
      </c>
      <c r="F18" s="17" t="s">
        <v>409</v>
      </c>
    </row>
    <row r="19" spans="1:21" ht="30" customHeight="1">
      <c r="A19" s="30" t="s">
        <v>135</v>
      </c>
      <c r="B19" s="64" t="s">
        <v>410</v>
      </c>
      <c r="C19" s="75"/>
      <c r="D19" s="64" t="s">
        <v>411</v>
      </c>
      <c r="E19" s="75"/>
      <c r="F19" s="64" t="s">
        <v>412</v>
      </c>
      <c r="G19" s="75"/>
      <c r="H19" s="64" t="s">
        <v>413</v>
      </c>
      <c r="I19" s="75"/>
      <c r="J19" s="64" t="s">
        <v>215</v>
      </c>
      <c r="K19" s="75"/>
      <c r="L19" s="64" t="s">
        <v>414</v>
      </c>
      <c r="M19" s="75"/>
      <c r="N19" s="64" t="s">
        <v>205</v>
      </c>
      <c r="O19" s="75"/>
      <c r="P19" s="64" t="s">
        <v>415</v>
      </c>
      <c r="Q19" s="75"/>
      <c r="R19" s="30" t="s">
        <v>337</v>
      </c>
      <c r="S19" s="30" t="s">
        <v>338</v>
      </c>
      <c r="T19" s="38" t="s">
        <v>416</v>
      </c>
      <c r="U19" s="38" t="s">
        <v>417</v>
      </c>
    </row>
    <row r="20" spans="1:21" ht="13.5" customHeight="1">
      <c r="B20" s="28" t="s">
        <v>339</v>
      </c>
      <c r="C20" s="28" t="s">
        <v>340</v>
      </c>
      <c r="D20" s="28" t="s">
        <v>339</v>
      </c>
      <c r="E20" s="28" t="s">
        <v>340</v>
      </c>
      <c r="F20" s="28" t="s">
        <v>339</v>
      </c>
      <c r="G20" s="28" t="s">
        <v>340</v>
      </c>
      <c r="H20" s="28" t="s">
        <v>339</v>
      </c>
      <c r="I20" s="28" t="s">
        <v>340</v>
      </c>
      <c r="J20" s="28" t="s">
        <v>339</v>
      </c>
      <c r="K20" s="28" t="s">
        <v>340</v>
      </c>
      <c r="L20" s="28" t="s">
        <v>339</v>
      </c>
      <c r="M20" s="28" t="s">
        <v>340</v>
      </c>
      <c r="N20" s="28" t="s">
        <v>339</v>
      </c>
      <c r="O20" s="28" t="s">
        <v>340</v>
      </c>
      <c r="P20" s="28" t="s">
        <v>339</v>
      </c>
      <c r="Q20" s="28" t="s">
        <v>340</v>
      </c>
      <c r="R20" s="28"/>
      <c r="S20" s="28"/>
      <c r="T20" s="28"/>
      <c r="U20" s="28"/>
    </row>
    <row r="21" spans="1:21" ht="15.75" customHeight="1">
      <c r="A21" s="7" t="s">
        <v>418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</row>
    <row r="22" spans="1:21" ht="15.75" customHeight="1">
      <c r="A22" s="7" t="s">
        <v>418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</row>
    <row r="23" spans="1:21" ht="15.75" customHeight="1">
      <c r="A23" s="7" t="s">
        <v>418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</row>
    <row r="24" spans="1:21" ht="15.75" customHeight="1">
      <c r="A24" s="6" t="s">
        <v>274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</row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8:I8"/>
    <mergeCell ref="J8:K8"/>
    <mergeCell ref="L8:M8"/>
    <mergeCell ref="N8:O8"/>
    <mergeCell ref="P8:Q8"/>
    <mergeCell ref="A1:G1"/>
    <mergeCell ref="A2:G2"/>
    <mergeCell ref="A3:G3"/>
    <mergeCell ref="A6:G6"/>
    <mergeCell ref="B8:C8"/>
    <mergeCell ref="D8:E8"/>
    <mergeCell ref="F8:G8"/>
    <mergeCell ref="N19:O19"/>
    <mergeCell ref="P19:Q19"/>
    <mergeCell ref="A17:G17"/>
    <mergeCell ref="B19:C19"/>
    <mergeCell ref="D19:E19"/>
    <mergeCell ref="F19:G19"/>
    <mergeCell ref="H19:I19"/>
    <mergeCell ref="J19:K19"/>
    <mergeCell ref="L19:M19"/>
  </mergeCells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showGridLines="0" workbookViewId="0">
      <pane ySplit="8" topLeftCell="A9" activePane="bottomLeft" state="frozen"/>
      <selection pane="bottomLeft" activeCell="J7" sqref="J7"/>
    </sheetView>
  </sheetViews>
  <sheetFormatPr defaultColWidth="14.42578125" defaultRowHeight="15" customHeight="1"/>
  <cols>
    <col min="1" max="1" width="5" customWidth="1"/>
    <col min="2" max="3" width="16" customWidth="1"/>
    <col min="4" max="4" width="5" customWidth="1"/>
    <col min="5" max="5" width="14" customWidth="1"/>
    <col min="6" max="6" width="10" customWidth="1"/>
    <col min="7" max="7" width="20" customWidth="1"/>
    <col min="8" max="9" width="10" customWidth="1"/>
    <col min="10" max="10" width="14" customWidth="1"/>
    <col min="11" max="11" width="12" customWidth="1"/>
    <col min="12" max="12" width="16" customWidth="1"/>
    <col min="13" max="13" width="18" customWidth="1"/>
    <col min="14" max="14" width="12" customWidth="1"/>
    <col min="15" max="15" width="10" customWidth="1"/>
    <col min="16" max="16" width="12" customWidth="1"/>
    <col min="17" max="26" width="8.7109375" customWidth="1"/>
  </cols>
  <sheetData>
    <row r="1" spans="1:16" ht="27.75" customHeight="1">
      <c r="A1" s="68" t="s">
        <v>420</v>
      </c>
      <c r="B1" s="69"/>
      <c r="C1" s="69"/>
      <c r="D1" s="69"/>
      <c r="E1" s="69"/>
      <c r="F1" s="69"/>
      <c r="G1" s="69"/>
      <c r="H1" s="69"/>
    </row>
    <row r="2" spans="1:16" ht="21.75" customHeight="1">
      <c r="A2" s="62" t="s">
        <v>421</v>
      </c>
      <c r="B2" s="72"/>
      <c r="C2" s="72"/>
      <c r="D2" s="72"/>
      <c r="E2" s="72"/>
      <c r="F2" s="72"/>
      <c r="G2" s="72"/>
      <c r="H2" s="75"/>
    </row>
    <row r="3" spans="1:16" ht="15.75" customHeight="1">
      <c r="A3" s="71" t="s">
        <v>422</v>
      </c>
      <c r="B3" s="69"/>
      <c r="C3" s="69"/>
      <c r="D3" s="69"/>
      <c r="E3" s="69"/>
      <c r="F3" s="69"/>
      <c r="G3" s="69"/>
      <c r="H3" s="69"/>
    </row>
    <row r="6" spans="1:16" ht="36" customHeight="1">
      <c r="A6" s="17" t="s">
        <v>423</v>
      </c>
      <c r="B6" s="17" t="s">
        <v>424</v>
      </c>
      <c r="C6" s="17" t="s">
        <v>425</v>
      </c>
      <c r="D6" s="17" t="s">
        <v>426</v>
      </c>
    </row>
    <row r="7" spans="1:16" ht="39.75" customHeight="1">
      <c r="A7" s="30" t="s">
        <v>153</v>
      </c>
      <c r="B7" s="30" t="s">
        <v>154</v>
      </c>
      <c r="C7" s="30" t="s">
        <v>99</v>
      </c>
      <c r="D7" s="30" t="s">
        <v>155</v>
      </c>
      <c r="E7" s="30" t="s">
        <v>156</v>
      </c>
      <c r="F7" s="30" t="s">
        <v>157</v>
      </c>
      <c r="G7" s="30" t="s">
        <v>158</v>
      </c>
      <c r="H7" s="30" t="s">
        <v>159</v>
      </c>
      <c r="I7" s="30" t="s">
        <v>160</v>
      </c>
      <c r="J7" s="30" t="s">
        <v>427</v>
      </c>
      <c r="K7" s="30" t="s">
        <v>161</v>
      </c>
      <c r="L7" s="30" t="s">
        <v>162</v>
      </c>
      <c r="M7" s="30" t="s">
        <v>163</v>
      </c>
      <c r="N7" s="38" t="s">
        <v>164</v>
      </c>
      <c r="O7" s="30" t="s">
        <v>165</v>
      </c>
      <c r="P7" s="38" t="s">
        <v>166</v>
      </c>
    </row>
    <row r="8" spans="1:16" ht="15.75" customHeight="1">
      <c r="A8" s="39" t="s">
        <v>428</v>
      </c>
      <c r="B8" s="39" t="s">
        <v>429</v>
      </c>
      <c r="C8" s="39" t="s">
        <v>430</v>
      </c>
      <c r="D8" s="39" t="s">
        <v>340</v>
      </c>
      <c r="E8" s="39" t="s">
        <v>171</v>
      </c>
      <c r="F8" s="39" t="s">
        <v>172</v>
      </c>
      <c r="G8" s="39" t="s">
        <v>173</v>
      </c>
      <c r="H8" s="39">
        <v>35</v>
      </c>
      <c r="I8" s="39">
        <v>12</v>
      </c>
      <c r="J8" s="39" t="s">
        <v>431</v>
      </c>
      <c r="K8" s="39" t="s">
        <v>174</v>
      </c>
      <c r="L8" s="39" t="s">
        <v>175</v>
      </c>
      <c r="M8" s="39" t="s">
        <v>176</v>
      </c>
      <c r="N8" s="39">
        <v>16</v>
      </c>
      <c r="O8" s="39" t="s">
        <v>177</v>
      </c>
      <c r="P8" s="39" t="s">
        <v>177</v>
      </c>
    </row>
    <row r="9" spans="1:16" ht="15" customHeight="1">
      <c r="A9" s="7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1"/>
      <c r="O9" s="3"/>
      <c r="P9" s="11"/>
    </row>
    <row r="10" spans="1:16" ht="15" customHeight="1">
      <c r="A10" s="7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1"/>
      <c r="O10" s="3"/>
      <c r="P10" s="11"/>
    </row>
    <row r="11" spans="1:16" ht="15" customHeight="1">
      <c r="A11" s="7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3"/>
      <c r="P11" s="11"/>
    </row>
    <row r="12" spans="1:16" ht="15" customHeight="1">
      <c r="A12" s="7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3"/>
      <c r="P12" s="11"/>
    </row>
    <row r="13" spans="1:16" ht="15" customHeight="1">
      <c r="A13" s="7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1"/>
      <c r="O13" s="3"/>
      <c r="P13" s="11"/>
    </row>
    <row r="14" spans="1:16" ht="15" customHeight="1">
      <c r="A14" s="7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1"/>
      <c r="O14" s="3"/>
      <c r="P14" s="11"/>
    </row>
    <row r="15" spans="1:16" ht="15" customHeight="1">
      <c r="A15" s="7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1"/>
      <c r="O15" s="3"/>
      <c r="P15" s="11"/>
    </row>
    <row r="16" spans="1:16" ht="15" customHeight="1">
      <c r="A16" s="7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1"/>
      <c r="O16" s="3"/>
      <c r="P16" s="11"/>
    </row>
    <row r="17" spans="1:16" ht="15" customHeight="1">
      <c r="A17" s="7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1"/>
      <c r="O17" s="3"/>
      <c r="P17" s="11"/>
    </row>
    <row r="18" spans="1:16" ht="15" customHeight="1">
      <c r="A18" s="7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1"/>
      <c r="O18" s="3"/>
      <c r="P18" s="11"/>
    </row>
    <row r="19" spans="1:16" ht="15" customHeight="1">
      <c r="A19" s="7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1"/>
      <c r="O19" s="3"/>
      <c r="P19" s="11"/>
    </row>
    <row r="20" spans="1:16" ht="15" customHeight="1">
      <c r="A20" s="7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/>
      <c r="O20" s="3"/>
      <c r="P20" s="11"/>
    </row>
    <row r="21" spans="1:16" ht="15" customHeight="1">
      <c r="A21" s="7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1"/>
      <c r="O21" s="3"/>
      <c r="P21" s="11"/>
    </row>
    <row r="22" spans="1:16" ht="15" customHeight="1">
      <c r="A22" s="7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1"/>
      <c r="O22" s="3"/>
      <c r="P22" s="11"/>
    </row>
    <row r="23" spans="1:16" ht="15" customHeight="1">
      <c r="A23" s="7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1"/>
      <c r="O23" s="3"/>
      <c r="P23" s="11"/>
    </row>
    <row r="24" spans="1:16" ht="15" customHeight="1">
      <c r="A24" s="7">
        <v>16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  <c r="O24" s="3"/>
      <c r="P24" s="11"/>
    </row>
    <row r="25" spans="1:16" ht="15" customHeight="1">
      <c r="A25" s="7">
        <v>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1"/>
      <c r="O25" s="3"/>
      <c r="P25" s="11"/>
    </row>
    <row r="26" spans="1:16" ht="15" customHeight="1">
      <c r="A26" s="7">
        <v>18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  <c r="O26" s="3"/>
      <c r="P26" s="11"/>
    </row>
    <row r="27" spans="1:16" ht="15" customHeight="1">
      <c r="A27" s="7">
        <v>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1"/>
      <c r="O27" s="3"/>
      <c r="P27" s="11"/>
    </row>
    <row r="28" spans="1:16" ht="15" customHeight="1">
      <c r="A28" s="7">
        <v>20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  <c r="O28" s="3"/>
      <c r="P28" s="11"/>
    </row>
    <row r="29" spans="1:16" ht="15" customHeight="1">
      <c r="A29" s="7">
        <v>21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1"/>
      <c r="O29" s="3"/>
      <c r="P29" s="11"/>
    </row>
    <row r="30" spans="1:16" ht="15" customHeight="1">
      <c r="A30" s="7">
        <v>22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1"/>
      <c r="O30" s="3"/>
      <c r="P30" s="11"/>
    </row>
    <row r="31" spans="1:16" ht="15" customHeight="1">
      <c r="A31" s="7">
        <v>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1"/>
      <c r="O31" s="3"/>
      <c r="P31" s="11"/>
    </row>
    <row r="32" spans="1:16" ht="15" customHeight="1">
      <c r="A32" s="7">
        <v>24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11"/>
      <c r="O32" s="3"/>
      <c r="P32" s="11"/>
    </row>
    <row r="33" spans="1:16" ht="15" customHeight="1">
      <c r="A33" s="7">
        <v>25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1"/>
      <c r="O33" s="3"/>
      <c r="P33" s="11"/>
    </row>
    <row r="34" spans="1:16" ht="15" customHeight="1">
      <c r="A34" s="7">
        <v>26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  <c r="O34" s="3"/>
      <c r="P34" s="11"/>
    </row>
    <row r="35" spans="1:16" ht="15" customHeight="1">
      <c r="A35" s="7">
        <v>27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1"/>
      <c r="O35" s="3"/>
      <c r="P35" s="11"/>
    </row>
    <row r="36" spans="1:16" ht="15" customHeight="1">
      <c r="A36" s="7">
        <v>28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1"/>
      <c r="O36" s="3"/>
      <c r="P36" s="11"/>
    </row>
    <row r="37" spans="1:16" ht="15" customHeight="1">
      <c r="A37" s="7">
        <v>29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1"/>
      <c r="O37" s="3"/>
      <c r="P37" s="11"/>
    </row>
    <row r="38" spans="1:16" ht="15" customHeight="1">
      <c r="A38" s="7">
        <v>30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11"/>
      <c r="O38" s="3"/>
      <c r="P38" s="11"/>
    </row>
    <row r="39" spans="1:16" ht="15" customHeight="1">
      <c r="A39" s="7">
        <v>31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1"/>
      <c r="O39" s="3"/>
      <c r="P39" s="11"/>
    </row>
    <row r="40" spans="1:16" ht="15" customHeight="1">
      <c r="A40" s="7">
        <v>32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1"/>
      <c r="O40" s="3"/>
      <c r="P40" s="11"/>
    </row>
    <row r="41" spans="1:16" ht="15" customHeight="1">
      <c r="A41" s="7">
        <v>33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1"/>
      <c r="O41" s="3"/>
      <c r="P41" s="11"/>
    </row>
    <row r="42" spans="1:16" ht="15" customHeight="1">
      <c r="A42" s="7">
        <v>34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1"/>
      <c r="O42" s="3"/>
      <c r="P42" s="11"/>
    </row>
    <row r="43" spans="1:16" ht="15" customHeight="1">
      <c r="A43" s="7">
        <v>35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1"/>
      <c r="O43" s="3"/>
      <c r="P43" s="11"/>
    </row>
    <row r="44" spans="1:16" ht="15" customHeight="1">
      <c r="A44" s="7">
        <v>36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1"/>
      <c r="O44" s="3"/>
      <c r="P44" s="11"/>
    </row>
    <row r="45" spans="1:16" ht="15" customHeight="1">
      <c r="A45" s="7">
        <v>37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1"/>
      <c r="O45" s="3"/>
      <c r="P45" s="11"/>
    </row>
    <row r="46" spans="1:16" ht="15" customHeight="1">
      <c r="A46" s="7">
        <v>38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1"/>
      <c r="O46" s="3"/>
      <c r="P46" s="11"/>
    </row>
    <row r="47" spans="1:16" ht="15" customHeight="1">
      <c r="A47" s="7">
        <v>39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  <c r="O47" s="3"/>
      <c r="P47" s="11"/>
    </row>
    <row r="48" spans="1:16" ht="15" customHeight="1">
      <c r="A48" s="7">
        <v>40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1"/>
      <c r="O48" s="3"/>
      <c r="P48" s="11"/>
    </row>
    <row r="49" spans="1:16" ht="15" customHeight="1">
      <c r="A49" s="7">
        <v>41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11"/>
      <c r="O49" s="3"/>
      <c r="P49" s="11"/>
    </row>
    <row r="50" spans="1:16" ht="15" customHeight="1">
      <c r="A50" s="7">
        <v>42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1"/>
      <c r="O50" s="3"/>
      <c r="P50" s="11"/>
    </row>
    <row r="51" spans="1:16" ht="15" customHeight="1">
      <c r="A51" s="7">
        <v>43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1"/>
      <c r="O51" s="3"/>
      <c r="P51" s="11"/>
    </row>
    <row r="52" spans="1:16" ht="15" customHeight="1">
      <c r="A52" s="7">
        <v>44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1"/>
      <c r="O52" s="3"/>
      <c r="P52" s="11"/>
    </row>
    <row r="53" spans="1:16" ht="15" customHeight="1">
      <c r="A53" s="7">
        <v>45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1"/>
      <c r="O53" s="3"/>
      <c r="P53" s="11"/>
    </row>
    <row r="54" spans="1:16" ht="15" customHeight="1">
      <c r="A54" s="7">
        <v>46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1"/>
      <c r="O54" s="3"/>
      <c r="P54" s="11"/>
    </row>
    <row r="55" spans="1:16" ht="15" customHeight="1">
      <c r="A55" s="7">
        <v>47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1"/>
      <c r="O55" s="3"/>
      <c r="P55" s="11"/>
    </row>
    <row r="56" spans="1:16" ht="15" customHeight="1">
      <c r="A56" s="7">
        <v>48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11"/>
      <c r="O56" s="3"/>
      <c r="P56" s="11"/>
    </row>
    <row r="57" spans="1:16" ht="15" customHeight="1">
      <c r="A57" s="7">
        <v>49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11"/>
      <c r="O57" s="3"/>
      <c r="P57" s="11"/>
    </row>
    <row r="58" spans="1:16" ht="15" customHeight="1">
      <c r="A58" s="7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11"/>
      <c r="O58" s="3"/>
      <c r="P58" s="11"/>
    </row>
    <row r="59" spans="1:16" ht="15.75" customHeight="1"/>
    <row r="60" spans="1:16" ht="15.75" customHeight="1"/>
    <row r="61" spans="1:16" ht="15.75" customHeight="1"/>
    <row r="62" spans="1:16" ht="15.75" customHeight="1"/>
    <row r="63" spans="1:16" ht="15.75" customHeight="1"/>
    <row r="64" spans="1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showGridLines="0" workbookViewId="0">
      <selection sqref="A1:E1"/>
    </sheetView>
  </sheetViews>
  <sheetFormatPr defaultColWidth="14.42578125" defaultRowHeight="15" customHeight="1"/>
  <cols>
    <col min="1" max="1" width="22" customWidth="1"/>
    <col min="2" max="2" width="18" customWidth="1"/>
    <col min="3" max="6" width="10" customWidth="1"/>
    <col min="7" max="7" width="22" customWidth="1"/>
    <col min="8" max="26" width="8.7109375" customWidth="1"/>
  </cols>
  <sheetData>
    <row r="1" spans="1:7" ht="27.75" customHeight="1">
      <c r="A1" s="68" t="s">
        <v>432</v>
      </c>
      <c r="B1" s="69"/>
      <c r="C1" s="69"/>
      <c r="D1" s="69"/>
      <c r="E1" s="69"/>
    </row>
    <row r="2" spans="1:7" ht="21.75" customHeight="1">
      <c r="A2" s="62" t="s">
        <v>433</v>
      </c>
      <c r="B2" s="72"/>
      <c r="C2" s="72"/>
      <c r="D2" s="72"/>
      <c r="E2" s="75"/>
      <c r="F2" s="23" t="s">
        <v>295</v>
      </c>
      <c r="G2" s="24" t="s">
        <v>296</v>
      </c>
    </row>
    <row r="3" spans="1:7" ht="15.75" customHeight="1">
      <c r="A3" s="71"/>
      <c r="B3" s="69"/>
      <c r="C3" s="69"/>
      <c r="D3" s="69"/>
      <c r="E3" s="69"/>
    </row>
    <row r="6" spans="1:7" ht="18" customHeight="1">
      <c r="A6" s="61" t="s">
        <v>434</v>
      </c>
      <c r="B6" s="72"/>
      <c r="C6" s="72"/>
      <c r="D6" s="72"/>
      <c r="E6" s="72"/>
    </row>
    <row r="7" spans="1:7" ht="36" customHeight="1">
      <c r="A7" s="25" t="s">
        <v>435</v>
      </c>
      <c r="B7" s="25" t="s">
        <v>387</v>
      </c>
    </row>
    <row r="8" spans="1:7" ht="19.5" customHeight="1">
      <c r="A8" s="28" t="s">
        <v>135</v>
      </c>
      <c r="B8" s="28" t="s">
        <v>436</v>
      </c>
      <c r="C8" s="28" t="s">
        <v>437</v>
      </c>
      <c r="D8" s="28" t="s">
        <v>438</v>
      </c>
      <c r="E8" s="28" t="s">
        <v>439</v>
      </c>
      <c r="F8" s="28" t="s">
        <v>440</v>
      </c>
    </row>
    <row r="9" spans="1:7" ht="15" customHeight="1">
      <c r="A9" s="7" t="s">
        <v>441</v>
      </c>
      <c r="B9" s="3" t="s">
        <v>210</v>
      </c>
      <c r="C9" s="11">
        <v>0</v>
      </c>
      <c r="D9" s="11">
        <v>0</v>
      </c>
      <c r="E9" s="11">
        <v>0</v>
      </c>
      <c r="F9" s="11">
        <v>0</v>
      </c>
    </row>
    <row r="10" spans="1:7" ht="15" customHeight="1">
      <c r="A10" s="7" t="s">
        <v>441</v>
      </c>
      <c r="B10" s="3" t="s">
        <v>205</v>
      </c>
      <c r="C10" s="11">
        <v>0</v>
      </c>
      <c r="D10" s="11">
        <v>0</v>
      </c>
      <c r="E10" s="11">
        <v>0</v>
      </c>
      <c r="F10" s="11">
        <v>0</v>
      </c>
    </row>
    <row r="11" spans="1:7" ht="15" customHeight="1">
      <c r="A11" s="7" t="s">
        <v>441</v>
      </c>
      <c r="B11" s="3" t="s">
        <v>414</v>
      </c>
      <c r="C11" s="11">
        <v>0</v>
      </c>
      <c r="D11" s="11">
        <v>0</v>
      </c>
      <c r="E11" s="11">
        <v>0</v>
      </c>
      <c r="F11" s="11">
        <v>0</v>
      </c>
    </row>
    <row r="12" spans="1:7" ht="15" customHeight="1">
      <c r="A12" s="7" t="s">
        <v>441</v>
      </c>
      <c r="B12" s="3" t="s">
        <v>215</v>
      </c>
      <c r="C12" s="11">
        <v>0</v>
      </c>
      <c r="D12" s="11">
        <v>0</v>
      </c>
      <c r="E12" s="11">
        <v>0</v>
      </c>
      <c r="F12" s="11">
        <v>0</v>
      </c>
    </row>
    <row r="13" spans="1:7" ht="15" customHeight="1">
      <c r="A13" s="7" t="s">
        <v>441</v>
      </c>
      <c r="B13" s="3" t="s">
        <v>442</v>
      </c>
      <c r="C13" s="11">
        <v>0</v>
      </c>
      <c r="D13" s="11">
        <v>0</v>
      </c>
      <c r="E13" s="11">
        <v>0</v>
      </c>
      <c r="F13" s="11">
        <v>0</v>
      </c>
    </row>
    <row r="14" spans="1:7" ht="15" customHeight="1">
      <c r="A14" s="7" t="s">
        <v>441</v>
      </c>
      <c r="B14" s="3" t="s">
        <v>443</v>
      </c>
      <c r="C14" s="11">
        <v>0</v>
      </c>
      <c r="D14" s="11">
        <v>0</v>
      </c>
      <c r="E14" s="11">
        <v>0</v>
      </c>
      <c r="F14" s="11">
        <v>0</v>
      </c>
    </row>
    <row r="15" spans="1:7" ht="15" customHeight="1">
      <c r="A15" s="7" t="s">
        <v>441</v>
      </c>
      <c r="B15" s="3" t="s">
        <v>444</v>
      </c>
      <c r="C15" s="11">
        <v>0</v>
      </c>
      <c r="D15" s="11">
        <v>0</v>
      </c>
      <c r="E15" s="11">
        <v>0</v>
      </c>
      <c r="F15" s="11">
        <v>0</v>
      </c>
    </row>
    <row r="17" spans="1:6" ht="18" customHeight="1">
      <c r="A17" s="61" t="s">
        <v>445</v>
      </c>
      <c r="B17" s="72"/>
      <c r="C17" s="72"/>
      <c r="D17" s="72"/>
      <c r="E17" s="72"/>
    </row>
    <row r="18" spans="1:6" ht="36" customHeight="1">
      <c r="A18" s="26" t="s">
        <v>446</v>
      </c>
      <c r="B18" s="26" t="s">
        <v>387</v>
      </c>
    </row>
    <row r="19" spans="1:6" ht="19.5" customHeight="1">
      <c r="A19" s="28" t="s">
        <v>365</v>
      </c>
      <c r="B19" s="28" t="s">
        <v>366</v>
      </c>
      <c r="C19" s="28" t="s">
        <v>437</v>
      </c>
      <c r="D19" s="28" t="s">
        <v>438</v>
      </c>
      <c r="E19" s="28" t="s">
        <v>439</v>
      </c>
      <c r="F19" s="28" t="s">
        <v>440</v>
      </c>
    </row>
    <row r="20" spans="1:6" ht="15" customHeight="1">
      <c r="A20" s="3" t="s">
        <v>447</v>
      </c>
      <c r="B20" s="3" t="s">
        <v>448</v>
      </c>
      <c r="C20" s="11">
        <v>0</v>
      </c>
      <c r="D20" s="11">
        <v>0</v>
      </c>
      <c r="E20" s="11">
        <v>0</v>
      </c>
      <c r="F20" s="11">
        <v>0</v>
      </c>
    </row>
    <row r="21" spans="1:6" ht="15" customHeight="1">
      <c r="A21" s="3" t="s">
        <v>447</v>
      </c>
      <c r="B21" s="3" t="s">
        <v>449</v>
      </c>
      <c r="C21" s="11">
        <v>0</v>
      </c>
      <c r="D21" s="11">
        <v>0</v>
      </c>
      <c r="E21" s="11">
        <v>0</v>
      </c>
      <c r="F21" s="11">
        <v>0</v>
      </c>
    </row>
    <row r="22" spans="1:6" ht="15" customHeight="1">
      <c r="A22" s="3" t="s">
        <v>447</v>
      </c>
      <c r="B22" s="3" t="s">
        <v>450</v>
      </c>
      <c r="C22" s="11">
        <v>0</v>
      </c>
      <c r="D22" s="11">
        <v>0</v>
      </c>
      <c r="E22" s="11">
        <v>0</v>
      </c>
      <c r="F22" s="11">
        <v>0</v>
      </c>
    </row>
    <row r="23" spans="1:6" ht="15" customHeight="1">
      <c r="A23" s="3" t="s">
        <v>447</v>
      </c>
      <c r="B23" s="3" t="s">
        <v>451</v>
      </c>
      <c r="C23" s="11">
        <v>0</v>
      </c>
      <c r="D23" s="11">
        <v>0</v>
      </c>
      <c r="E23" s="11">
        <v>0</v>
      </c>
      <c r="F23" s="11">
        <v>0</v>
      </c>
    </row>
    <row r="24" spans="1:6" ht="15" customHeight="1">
      <c r="A24" s="3" t="s">
        <v>447</v>
      </c>
      <c r="B24" s="3" t="s">
        <v>452</v>
      </c>
      <c r="C24" s="11">
        <v>0</v>
      </c>
      <c r="D24" s="11">
        <v>0</v>
      </c>
      <c r="E24" s="11">
        <v>0</v>
      </c>
      <c r="F24" s="11">
        <v>0</v>
      </c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3:E3"/>
    <mergeCell ref="A6:E6"/>
    <mergeCell ref="A17:E17"/>
  </mergeCells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showGridLines="0" workbookViewId="0"/>
  </sheetViews>
  <sheetFormatPr defaultColWidth="14.42578125" defaultRowHeight="15" customHeight="1"/>
  <cols>
    <col min="1" max="1" width="50" customWidth="1"/>
    <col min="2" max="2" width="20" customWidth="1"/>
    <col min="3" max="4" width="16" customWidth="1"/>
    <col min="5" max="7" width="22" customWidth="1"/>
    <col min="8" max="26" width="8.7109375" customWidth="1"/>
  </cols>
  <sheetData>
    <row r="1" spans="1:7" ht="27.75" customHeight="1">
      <c r="A1" s="68" t="s">
        <v>453</v>
      </c>
      <c r="B1" s="69"/>
      <c r="C1" s="69"/>
      <c r="D1" s="69"/>
    </row>
    <row r="2" spans="1:7" ht="21.75" customHeight="1">
      <c r="A2" s="62" t="s">
        <v>454</v>
      </c>
      <c r="B2" s="72"/>
      <c r="C2" s="72"/>
      <c r="D2" s="75"/>
      <c r="E2" s="22" t="s">
        <v>294</v>
      </c>
      <c r="F2" s="23" t="s">
        <v>295</v>
      </c>
      <c r="G2" s="24" t="s">
        <v>296</v>
      </c>
    </row>
    <row r="3" spans="1:7" ht="15.75" customHeight="1">
      <c r="A3" s="71"/>
      <c r="B3" s="69"/>
      <c r="C3" s="69"/>
      <c r="D3" s="69"/>
    </row>
    <row r="6" spans="1:7" ht="18" customHeight="1">
      <c r="A6" s="61" t="s">
        <v>455</v>
      </c>
      <c r="B6" s="72"/>
      <c r="C6" s="72"/>
      <c r="D6" s="72"/>
    </row>
    <row r="7" spans="1:7" ht="36" customHeight="1">
      <c r="A7" s="40" t="s">
        <v>456</v>
      </c>
      <c r="B7" s="40" t="s">
        <v>457</v>
      </c>
      <c r="C7" s="17" t="s">
        <v>458</v>
      </c>
      <c r="D7" s="40" t="s">
        <v>459</v>
      </c>
    </row>
    <row r="8" spans="1:7" ht="15.75" customHeight="1">
      <c r="A8" s="41" t="s">
        <v>460</v>
      </c>
      <c r="B8" s="41" t="s">
        <v>461</v>
      </c>
      <c r="C8" s="41" t="s">
        <v>462</v>
      </c>
      <c r="D8" s="41" t="s">
        <v>461</v>
      </c>
    </row>
    <row r="9" spans="1:7" ht="15.75" customHeight="1">
      <c r="A9" s="42" t="s">
        <v>463</v>
      </c>
      <c r="B9" s="43"/>
      <c r="C9" s="42" t="s">
        <v>464</v>
      </c>
      <c r="D9" s="43"/>
    </row>
    <row r="10" spans="1:7" ht="15.75" customHeight="1">
      <c r="A10" s="42" t="s">
        <v>465</v>
      </c>
      <c r="B10" s="43"/>
      <c r="C10" s="42" t="s">
        <v>466</v>
      </c>
      <c r="D10" s="43"/>
    </row>
    <row r="11" spans="1:7" ht="15.75" customHeight="1">
      <c r="A11" s="42" t="s">
        <v>467</v>
      </c>
      <c r="B11" s="43"/>
      <c r="C11" s="42" t="s">
        <v>468</v>
      </c>
      <c r="D11" s="43"/>
    </row>
    <row r="12" spans="1:7" ht="15.75" customHeight="1">
      <c r="A12" s="42" t="s">
        <v>469</v>
      </c>
      <c r="B12" s="43"/>
      <c r="C12" s="42" t="s">
        <v>470</v>
      </c>
      <c r="D12" s="43"/>
    </row>
    <row r="13" spans="1:7" ht="15.75" customHeight="1">
      <c r="A13" s="42" t="s">
        <v>471</v>
      </c>
      <c r="B13" s="43"/>
      <c r="C13" s="42" t="s">
        <v>472</v>
      </c>
      <c r="D13" s="43"/>
    </row>
    <row r="14" spans="1:7" ht="15.75" customHeight="1">
      <c r="A14" s="42" t="s">
        <v>473</v>
      </c>
      <c r="B14" s="43"/>
      <c r="C14" s="42" t="s">
        <v>474</v>
      </c>
      <c r="D14" s="43"/>
    </row>
    <row r="15" spans="1:7" ht="15.75" customHeight="1">
      <c r="A15" s="42" t="s">
        <v>475</v>
      </c>
      <c r="B15" s="43"/>
      <c r="C15" s="42" t="s">
        <v>476</v>
      </c>
      <c r="D15" s="43"/>
    </row>
    <row r="16" spans="1:7" ht="15.75" customHeight="1">
      <c r="A16" s="42" t="s">
        <v>477</v>
      </c>
      <c r="B16" s="43"/>
      <c r="C16" s="42" t="s">
        <v>478</v>
      </c>
      <c r="D16" s="43"/>
    </row>
    <row r="17" spans="1:4" ht="15.75" customHeight="1">
      <c r="A17" s="42"/>
      <c r="B17" s="43"/>
      <c r="C17" s="42" t="s">
        <v>479</v>
      </c>
      <c r="D17" s="43"/>
    </row>
    <row r="18" spans="1:4" ht="15.75" customHeight="1">
      <c r="A18" s="42"/>
      <c r="B18" s="43"/>
      <c r="C18" s="42" t="s">
        <v>480</v>
      </c>
      <c r="D18" s="43"/>
    </row>
    <row r="19" spans="1:4" ht="15.75" customHeight="1">
      <c r="A19" s="42"/>
      <c r="B19" s="43"/>
      <c r="C19" s="42" t="s">
        <v>477</v>
      </c>
      <c r="D19" s="43"/>
    </row>
    <row r="20" spans="1:4" ht="15.75" customHeight="1">
      <c r="A20" s="41" t="s">
        <v>481</v>
      </c>
      <c r="B20" s="41"/>
      <c r="C20" s="41" t="s">
        <v>481</v>
      </c>
      <c r="D20" s="41"/>
    </row>
    <row r="21" spans="1:4" ht="15.75" customHeight="1"/>
    <row r="22" spans="1:4" ht="18" customHeight="1">
      <c r="A22" s="67" t="s">
        <v>482</v>
      </c>
      <c r="B22" s="72"/>
      <c r="C22" s="72"/>
      <c r="D22" s="72"/>
    </row>
    <row r="23" spans="1:4" ht="36" customHeight="1">
      <c r="A23" s="40" t="s">
        <v>459</v>
      </c>
    </row>
    <row r="24" spans="1:4" ht="27.75" customHeight="1">
      <c r="A24" s="6" t="s">
        <v>483</v>
      </c>
      <c r="B24" s="11" t="s">
        <v>484</v>
      </c>
    </row>
    <row r="25" spans="1:4" ht="27.75" customHeight="1">
      <c r="A25" s="6" t="s">
        <v>485</v>
      </c>
      <c r="B25" s="11"/>
    </row>
    <row r="26" spans="1:4" ht="27.75" customHeight="1">
      <c r="A26" s="6" t="s">
        <v>486</v>
      </c>
      <c r="B26" s="11"/>
    </row>
    <row r="27" spans="1:4" ht="15.75" customHeight="1"/>
    <row r="28" spans="1:4" ht="18" customHeight="1">
      <c r="A28" s="65" t="s">
        <v>487</v>
      </c>
      <c r="B28" s="72"/>
      <c r="C28" s="72"/>
      <c r="D28" s="72"/>
    </row>
    <row r="29" spans="1:4" ht="36" customHeight="1">
      <c r="A29" s="17" t="s">
        <v>458</v>
      </c>
    </row>
    <row r="30" spans="1:4" ht="24" customHeight="1">
      <c r="A30" s="6" t="s">
        <v>488</v>
      </c>
      <c r="B30" s="11">
        <v>0</v>
      </c>
    </row>
    <row r="31" spans="1:4" ht="24" customHeight="1">
      <c r="A31" s="6" t="s">
        <v>489</v>
      </c>
      <c r="B31" s="11">
        <v>0</v>
      </c>
    </row>
    <row r="32" spans="1:4" ht="24" customHeight="1">
      <c r="A32" s="6" t="s">
        <v>490</v>
      </c>
      <c r="B32" s="11">
        <v>0</v>
      </c>
    </row>
    <row r="33" spans="1:4" ht="15.75" customHeight="1"/>
    <row r="34" spans="1:4" ht="18" customHeight="1">
      <c r="A34" s="66" t="s">
        <v>491</v>
      </c>
      <c r="B34" s="72"/>
      <c r="C34" s="72"/>
      <c r="D34" s="72"/>
    </row>
    <row r="35" spans="1:4" ht="36" customHeight="1">
      <c r="A35" s="16" t="s">
        <v>492</v>
      </c>
    </row>
    <row r="36" spans="1:4" ht="15.75" customHeight="1">
      <c r="A36" s="7" t="s">
        <v>493</v>
      </c>
      <c r="B36" s="7" t="s">
        <v>494</v>
      </c>
    </row>
    <row r="37" spans="1:4" ht="15.75" customHeight="1"/>
    <row r="38" spans="1:4" ht="15.75" customHeight="1">
      <c r="A38" s="6" t="s">
        <v>495</v>
      </c>
      <c r="B38" s="3" t="s">
        <v>277</v>
      </c>
      <c r="C38" s="3" t="s">
        <v>278</v>
      </c>
    </row>
    <row r="39" spans="1:4" ht="15.75" customHeight="1">
      <c r="A39" s="6" t="s">
        <v>496</v>
      </c>
      <c r="B39" s="3" t="s">
        <v>277</v>
      </c>
      <c r="C39" s="3" t="s">
        <v>278</v>
      </c>
    </row>
    <row r="40" spans="1:4" ht="15.75" customHeight="1">
      <c r="A40" s="6" t="s">
        <v>497</v>
      </c>
      <c r="B40" s="3" t="s">
        <v>277</v>
      </c>
      <c r="C40" s="3" t="s">
        <v>278</v>
      </c>
    </row>
    <row r="41" spans="1:4" ht="15.75" customHeight="1"/>
    <row r="42" spans="1:4" ht="18" customHeight="1">
      <c r="A42" s="66" t="s">
        <v>498</v>
      </c>
      <c r="B42" s="72"/>
      <c r="C42" s="72"/>
      <c r="D42" s="72"/>
    </row>
    <row r="43" spans="1:4" ht="15.75" customHeight="1">
      <c r="A43" s="6" t="s">
        <v>499</v>
      </c>
      <c r="B43" s="11">
        <v>0</v>
      </c>
    </row>
    <row r="44" spans="1:4" ht="15.75" customHeight="1">
      <c r="A44" s="6" t="s">
        <v>500</v>
      </c>
      <c r="B44" s="11">
        <v>0</v>
      </c>
    </row>
    <row r="45" spans="1:4" ht="15.75" customHeight="1">
      <c r="A45" s="6" t="s">
        <v>501</v>
      </c>
      <c r="B45" s="11">
        <v>0</v>
      </c>
    </row>
    <row r="46" spans="1:4" ht="15.75" customHeight="1">
      <c r="A46" s="6" t="s">
        <v>502</v>
      </c>
      <c r="B46" s="11">
        <v>0</v>
      </c>
    </row>
    <row r="47" spans="1:4" ht="15.75" customHeight="1">
      <c r="A47" s="6" t="s">
        <v>503</v>
      </c>
      <c r="B47" s="11">
        <v>0</v>
      </c>
    </row>
    <row r="48" spans="1:4" ht="15.75" customHeight="1">
      <c r="A48" s="6" t="s">
        <v>504</v>
      </c>
      <c r="B48" s="11">
        <v>0</v>
      </c>
    </row>
    <row r="49" spans="1:2" ht="15.75" customHeight="1">
      <c r="A49" s="6" t="s">
        <v>505</v>
      </c>
      <c r="B49" s="11">
        <v>0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8:D28"/>
    <mergeCell ref="A34:D34"/>
    <mergeCell ref="A42:D42"/>
    <mergeCell ref="A1:D1"/>
    <mergeCell ref="A2:D2"/>
    <mergeCell ref="A3:D3"/>
    <mergeCell ref="A6:D6"/>
    <mergeCell ref="A22:D22"/>
  </mergeCells>
  <pageMargins left="0.75" right="0.75" top="1" bottom="1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bb0c64-b6aa-4f80-8406-ac066f33ff26">
      <Terms xmlns="http://schemas.microsoft.com/office/infopath/2007/PartnerControls"/>
    </lcf76f155ced4ddcb4097134ff3c332f>
    <TaxCatchAll xmlns="85282a53-827d-4236-8de6-76a7d51d147d" xsi:nil="true"/>
    <thumbnail xmlns="a7bb0c64-b6aa-4f80-8406-ac066f33ff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D8B9BF0B365C4AAFE727B2F35A8F0D" ma:contentTypeVersion="21" ma:contentTypeDescription="Create a new document." ma:contentTypeScope="" ma:versionID="580afc6141495a1cfb6c784c224e0003">
  <xsd:schema xmlns:xsd="http://www.w3.org/2001/XMLSchema" xmlns:xs="http://www.w3.org/2001/XMLSchema" xmlns:p="http://schemas.microsoft.com/office/2006/metadata/properties" xmlns:ns2="a7bb0c64-b6aa-4f80-8406-ac066f33ff26" xmlns:ns3="85282a53-827d-4236-8de6-76a7d51d147d" targetNamespace="http://schemas.microsoft.com/office/2006/metadata/properties" ma:root="true" ma:fieldsID="9e5334c9a11707a6cae51083c6dfd251" ns2:_="" ns3:_="">
    <xsd:import namespace="a7bb0c64-b6aa-4f80-8406-ac066f33ff26"/>
    <xsd:import namespace="85282a53-827d-4236-8de6-76a7d51d14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humbnai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b0c64-b6aa-4f80-8406-ac066f33f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a50168-aca0-4378-93b9-26abe5ae6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humbnail" ma:index="25" nillable="true" ma:displayName="thumbnail" ma:format="Thumbnail" ma:internalName="thumbnail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82a53-827d-4236-8de6-76a7d51d14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5e1065-da3f-45e9-8d1d-3b148c6d2d74}" ma:internalName="TaxCatchAll" ma:showField="CatchAllData" ma:web="85282a53-827d-4236-8de6-76a7d51d14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377F1-A6C5-46E7-8F52-C25B441CA327}"/>
</file>

<file path=customXml/itemProps2.xml><?xml version="1.0" encoding="utf-8"?>
<ds:datastoreItem xmlns:ds="http://schemas.openxmlformats.org/officeDocument/2006/customXml" ds:itemID="{2BDA48D8-39ED-44EC-9E69-37EB1F72024C}"/>
</file>

<file path=customXml/itemProps3.xml><?xml version="1.0" encoding="utf-8"?>
<ds:datastoreItem xmlns:ds="http://schemas.openxmlformats.org/officeDocument/2006/customXml" ds:itemID="{6CB1E181-D320-4997-8E4A-B0A16668C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2026-03-30T11:15:03Z</dcterms:created>
  <dcterms:modified xsi:type="dcterms:W3CDTF">2026-06-17T15:57:51Z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0x01010027D8B9BF0B365C4AAFE727B2F35A8F0D</vt:lpwstr>
  </property>
</Properties>
</file>